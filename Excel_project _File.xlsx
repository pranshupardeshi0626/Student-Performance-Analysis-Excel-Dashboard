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ictures\Documents\"/>
    </mc:Choice>
  </mc:AlternateContent>
  <xr:revisionPtr revIDLastSave="0" documentId="13_ncr:1_{9B1FC0A3-28C9-45E5-8B13-ABF0004A73C6}" xr6:coauthVersionLast="47" xr6:coauthVersionMax="47" xr10:uidLastSave="{00000000-0000-0000-0000-000000000000}"/>
  <bookViews>
    <workbookView xWindow="-110" yWindow="-110" windowWidth="19420" windowHeight="10300" firstSheet="10" activeTab="14" xr2:uid="{ABF18290-3223-401B-98F2-AEB724018DB3}"/>
  </bookViews>
  <sheets>
    <sheet name="biology (2)" sheetId="15" r:id="rId1"/>
    <sheet name="Biology" sheetId="1" r:id="rId2"/>
    <sheet name="chemistry (2)" sheetId="16" r:id="rId3"/>
    <sheet name="Chemistry" sheetId="2" r:id="rId4"/>
    <sheet name="mathematics (2)" sheetId="17" r:id="rId5"/>
    <sheet name="Mathematics" sheetId="3" r:id="rId6"/>
    <sheet name="philosophy (2)" sheetId="18" r:id="rId7"/>
    <sheet name="Philosophy" sheetId="4" r:id="rId8"/>
    <sheet name="physics (2)" sheetId="19" r:id="rId9"/>
    <sheet name="Physics" sheetId="5" r:id="rId10"/>
    <sheet name="sociology(2)" sheetId="20" r:id="rId11"/>
    <sheet name="Sociology" sheetId="6" r:id="rId12"/>
    <sheet name="Student Details" sheetId="7" r:id="rId13"/>
    <sheet name="prepare" sheetId="14" r:id="rId14"/>
    <sheet name="dashboard" sheetId="22" r:id="rId15"/>
    <sheet name="marks table" sheetId="21" r:id="rId16"/>
  </sheets>
  <definedNames>
    <definedName name="ExternalData_1" localSheetId="0" hidden="1">'biology (2)'!$A$1:$F$39</definedName>
    <definedName name="ExternalData_1" localSheetId="2" hidden="1">'chemistry (2)'!$A$1:$F$28</definedName>
    <definedName name="ExternalData_1" localSheetId="15" hidden="1">'marks table'!$A$1:$F$201</definedName>
    <definedName name="ExternalData_1" localSheetId="4" hidden="1">'mathematics (2)'!$A$1:$F$38</definedName>
    <definedName name="ExternalData_1" localSheetId="6" hidden="1">'philosophy (2)'!$A$1:$F$39</definedName>
    <definedName name="ExternalData_1" localSheetId="8" hidden="1">'physics (2)'!$A$1:$F$22</definedName>
    <definedName name="ExternalData_1" localSheetId="10" hidden="1">'sociology(2)'!$A$1:$F$40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2" l="1"/>
  <c r="B63" i="22"/>
  <c r="D63" i="22" s="1"/>
  <c r="F59" i="22"/>
  <c r="G59" i="22" s="1"/>
  <c r="B13" i="14"/>
  <c r="J64" i="22"/>
  <c r="K64" i="22" s="1"/>
  <c r="O20" i="14"/>
  <c r="O19" i="14"/>
  <c r="B18" i="14"/>
  <c r="B17" i="14"/>
  <c r="B16" i="14"/>
  <c r="B15" i="14"/>
  <c r="B14" i="14"/>
  <c r="B23" i="14"/>
  <c r="B22" i="14"/>
  <c r="G68" i="22"/>
  <c r="I67" i="22"/>
  <c r="S44" i="7"/>
  <c r="S43" i="7"/>
  <c r="S2" i="7"/>
  <c r="S4" i="7"/>
  <c r="S3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R4" i="7"/>
  <c r="R2" i="7"/>
  <c r="R3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D66" i="22"/>
  <c r="E66" i="22" s="1"/>
  <c r="I59" i="22"/>
  <c r="J59" i="22" s="1"/>
  <c r="K52" i="22"/>
  <c r="L52" i="22" s="1"/>
  <c r="H52" i="22"/>
  <c r="I52" i="22" s="1"/>
  <c r="E17" i="22" a="1"/>
  <c r="E17" i="22" s="1"/>
  <c r="E16" i="22" a="1"/>
  <c r="E16" i="22" s="1"/>
  <c r="F9" i="14" a="1"/>
  <c r="F9" i="14" s="1"/>
  <c r="B53" i="22"/>
  <c r="B52" i="22"/>
  <c r="B19" i="22"/>
  <c r="B18" i="22"/>
  <c r="B17" i="22"/>
  <c r="B16" i="22"/>
  <c r="B15" i="22"/>
  <c r="B14" i="22"/>
  <c r="B10" i="22"/>
  <c r="C51" i="22" s="1"/>
  <c r="B8" i="22"/>
  <c r="F51" i="22" s="1"/>
  <c r="B7" i="22"/>
  <c r="B6" i="22"/>
  <c r="B5" i="22"/>
  <c r="E5" i="14"/>
  <c r="B6" i="14"/>
  <c r="B9" i="14"/>
  <c r="B8" i="14"/>
  <c r="B7" i="14"/>
  <c r="B5" i="14"/>
  <c r="B4" i="14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3" i="14" l="1"/>
  <c r="D51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FB0FF-41EA-4EC9-AFFE-E59085F6F8A9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2BEBBCD6-BC68-4159-8BCB-31953EEF5BEC}" keepAlive="1" name="Query - biology" description="Connection to the 'biology' query in the workbook." type="5" refreshedVersion="8" background="1" saveData="1">
    <dbPr connection="Provider=Microsoft.Mashup.OleDb.1;Data Source=$Workbook$;Location=biology;Extended Properties=&quot;&quot;" command="SELECT * FROM [biology]"/>
  </connection>
  <connection id="3" xr16:uid="{260E92D4-D9C4-49ED-B4B5-4B8E962A1FA3}" keepAlive="1" name="Query - chemistry" description="Connection to the 'chemistry' query in the workbook." type="5" refreshedVersion="8" background="1" saveData="1">
    <dbPr connection="Provider=Microsoft.Mashup.OleDb.1;Data Source=$Workbook$;Location=chemistry;Extended Properties=&quot;&quot;" command="SELECT * FROM [chemistry]"/>
  </connection>
  <connection id="4" xr16:uid="{E52FB07B-5DBD-40B0-891E-35D014FC781D}" keepAlive="1" name="Query - mathematics" description="Connection to the 'mathematics' query in the workbook." type="5" refreshedVersion="8" background="1" saveData="1">
    <dbPr connection="Provider=Microsoft.Mashup.OleDb.1;Data Source=$Workbook$;Location=mathematics;Extended Properties=&quot;&quot;" command="SELECT * FROM [mathematics]"/>
  </connection>
  <connection id="5" xr16:uid="{E6275921-AA66-407B-A754-9864412AC176}" keepAlive="1" name="Query - philosophy" description="Connection to the 'philosophy' query in the workbook." type="5" refreshedVersion="8" background="1" saveData="1">
    <dbPr connection="Provider=Microsoft.Mashup.OleDb.1;Data Source=$Workbook$;Location=philosophy;Extended Properties=&quot;&quot;" command="SELECT * FROM [philosophy]"/>
  </connection>
  <connection id="6" xr16:uid="{FDBAA233-7E92-4282-869A-DB21C8BD950F}" keepAlive="1" name="Query - physics" description="Connection to the 'physics' query in the workbook." type="5" refreshedVersion="8" background="1" saveData="1">
    <dbPr connection="Provider=Microsoft.Mashup.OleDb.1;Data Source=$Workbook$;Location=physics;Extended Properties=&quot;&quot;" command="SELECT * FROM [physics]"/>
  </connection>
  <connection id="7" xr16:uid="{92A60BB2-0FF6-4EB2-BB91-805E083DC166}" keepAlive="1" name="Query - sociology" description="Connection to the 'sociology' query in the workbook." type="5" refreshedVersion="8" background="1" saveData="1">
    <dbPr connection="Provider=Microsoft.Mashup.OleDb.1;Data Source=$Workbook$;Location=sociology;Extended Properties=&quot;&quot;" command="SELECT * FROM [sociolog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<sst xmlns="http://schemas.openxmlformats.org/spreadsheetml/2006/main" count="1593" uniqueCount="98">
  <si>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</si>
  <si>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</si>
  <si>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</si>
  <si>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</si>
  <si>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</si>
  <si>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</si>
  <si>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</si>
  <si>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</si>
  <si>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</si>
  <si>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</si>
  <si>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</si>
  <si>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</si>
  <si>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</si>
  <si>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</si>
  <si>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</si>
  <si>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</si>
  <si>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</si>
  <si>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</si>
  <si>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</si>
  <si>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</si>
  <si>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</si>
  <si>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</si>
  <si>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</si>
  <si>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</si>
  <si>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</si>
  <si>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</si>
  <si>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</si>
  <si>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</si>
  <si>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</si>
  <si>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</si>
  <si>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</si>
  <si>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</si>
  <si>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</si>
  <si>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</si>
  <si>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</si>
  <si>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</si>
  <si>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</si>
  <si>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</si>
  <si>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</si>
  <si>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</si>
  <si>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</si>
  <si>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</si>
  <si>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</si>
  <si>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</si>
  <si>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</si>
  <si>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</si>
  <si>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</si>
  <si>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</si>
  <si>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</si>
  <si>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</si>
  <si>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</si>
  <si>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</si>
  <si>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</si>
  <si>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</si>
  <si>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</si>
  <si>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</si>
  <si>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</si>
  <si>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</si>
  <si>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</si>
  <si>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</si>
  <si>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</si>
  <si>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</si>
  <si>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</si>
  <si>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</si>
  <si>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</si>
  <si>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</si>
  <si>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</si>
  <si>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</si>
  <si>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</si>
  <si>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</si>
  <si>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</si>
  <si>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Student names</t>
  </si>
  <si>
    <t>Select Students</t>
  </si>
  <si>
    <t>Student Id</t>
  </si>
  <si>
    <t>Study Time</t>
  </si>
  <si>
    <t>Subject</t>
  </si>
  <si>
    <t>Marks</t>
  </si>
  <si>
    <t>Study Time Comparison</t>
  </si>
  <si>
    <t>Type</t>
  </si>
  <si>
    <t>Hours</t>
  </si>
  <si>
    <t>Average</t>
  </si>
  <si>
    <t>Performace</t>
  </si>
  <si>
    <t>strong</t>
  </si>
  <si>
    <t>weakness</t>
  </si>
  <si>
    <t>Count</t>
  </si>
  <si>
    <t>Absence Comparison</t>
  </si>
  <si>
    <t>type</t>
  </si>
  <si>
    <t>Days</t>
  </si>
  <si>
    <t>Strength Subjects</t>
  </si>
  <si>
    <t>Weak subjects</t>
  </si>
  <si>
    <t>Strength</t>
  </si>
  <si>
    <t>Absent days</t>
  </si>
  <si>
    <t>Weak Subjects</t>
  </si>
  <si>
    <t>High Performace Group</t>
  </si>
  <si>
    <t>GPA High and low</t>
  </si>
  <si>
    <t>Strong</t>
  </si>
  <si>
    <t>Category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</si>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</sst>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2" fontId="0" fillId="0" borderId="0" xfId="0" applyNumberFormat="1"/>
    <xf numFmtId="2" fontId="3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0" fontId="4" fillId="0" borderId="0" xfId="0" applyFont="1"/>
    <xf numFmtId="0" fontId="0" fillId="2" borderId="0" xfId="0" applyFill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0" fontId="0" fillId="2" borderId="0" xfId="0" applyNumberFormat="1" applyFill="1"/>
    <xf numFmtId="2" fontId="0" fillId="2" borderId="0" xfId="0" applyNumberFormat="1" applyFill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7" xfId="0" applyFill="1" applyBorder="1"/>
    <xf numFmtId="0" fontId="6" fillId="3" borderId="3" xfId="0" applyFont="1" applyFill="1" applyBorder="1"/>
    <xf numFmtId="0" fontId="6" fillId="3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67">
    <dxf>
      <font>
        <color rgb="FF9C0006"/>
      </font>
    </dxf>
    <dxf>
      <font>
        <color rgb="FF9C0006"/>
      </font>
    </dxf>
    <dxf>
      <font>
        <color rgb="FF9C0006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69868"/>
      <color rgb="FFF9DA55"/>
      <color rgb="FFF4F4A4"/>
      <color rgb="FFFFFCF2"/>
      <color rgb="FFD4E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</a:t>
            </a:r>
            <a:r>
              <a:rPr lang="en-IN" baseline="0"/>
              <a:t>-wise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prepare!$B$12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prepare!$A$13:$A$18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prepare!$B$13:$B$18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35</c:v>
                </c:pt>
                <c:pt idx="4">
                  <c:v>69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C-4E0A-B304-DFA2B838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252304"/>
        <c:axId val="1378269104"/>
      </c:barChart>
      <c:catAx>
        <c:axId val="13782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69104"/>
        <c:crosses val="autoZero"/>
        <c:auto val="1"/>
        <c:lblAlgn val="ctr"/>
        <c:lblOffset val="100"/>
        <c:noMultiLvlLbl val="0"/>
      </c:catAx>
      <c:valAx>
        <c:axId val="13782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5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Study 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7003499562555"/>
          <c:y val="0.28535593220338984"/>
          <c:w val="0.81659951881014869"/>
          <c:h val="0.591265981582810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prepare!$B$20:$B$21</c:f>
              <c:strCache>
                <c:ptCount val="2"/>
                <c:pt idx="0">
                  <c:v>Study Time Comparison</c:v>
                </c:pt>
                <c:pt idx="1">
                  <c:v>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prepare!$A$22:$A$23</c:f>
              <c:strCache>
                <c:ptCount val="2"/>
                <c:pt idx="0">
                  <c:v>Hours</c:v>
                </c:pt>
                <c:pt idx="1">
                  <c:v>Average</c:v>
                </c:pt>
              </c:strCache>
            </c:strRef>
          </c:cat>
          <c:val>
            <c:numRef>
              <c:f>prepare!$B$22:$B$23</c:f>
              <c:numCache>
                <c:formatCode>0.00</c:formatCode>
                <c:ptCount val="2"/>
                <c:pt idx="0">
                  <c:v>19.833722807854699</c:v>
                </c:pt>
                <c:pt idx="1">
                  <c:v>9.9480693951685026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5-41C3-A945-A9F11A964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707856"/>
        <c:axId val="1414697296"/>
      </c:barChart>
      <c:catAx>
        <c:axId val="141470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97296"/>
        <c:crosses val="autoZero"/>
        <c:auto val="1"/>
        <c:lblAlgn val="ctr"/>
        <c:lblOffset val="100"/>
        <c:noMultiLvlLbl val="0"/>
      </c:catAx>
      <c:valAx>
        <c:axId val="14146972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prepare!$E$3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33-4C5A-86E3-D0334D32CD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33-4C5A-86E3-D0334D32CD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prepare!$D$4:$D$5</c:f>
              <c:strCache>
                <c:ptCount val="2"/>
                <c:pt idx="0">
                  <c:v>strong</c:v>
                </c:pt>
                <c:pt idx="1">
                  <c:v>weakness</c:v>
                </c:pt>
              </c:strCache>
            </c:strRef>
          </c:cat>
          <c:val>
            <c:numRef>
              <c:f>prepare!$E$4:$E$5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3F7-A593-011729AB8F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40737735651897"/>
          <c:y val="0.24261146496815292"/>
          <c:w val="0.81161838376760287"/>
          <c:h val="0.615998294799137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prepare!$O$17:$O$18</c:f>
              <c:strCache>
                <c:ptCount val="2"/>
                <c:pt idx="0">
                  <c:v>Absence Comparison</c:v>
                </c:pt>
                <c:pt idx="1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prepare!$N$19:$N$20</c:f>
              <c:strCache>
                <c:ptCount val="2"/>
                <c:pt idx="0">
                  <c:v>Absent days</c:v>
                </c:pt>
                <c:pt idx="1">
                  <c:v>Average</c:v>
                </c:pt>
              </c:strCache>
            </c:strRef>
          </c:cat>
          <c:val>
            <c:numRef>
              <c:f>prepare!$O$19:$O$20</c:f>
              <c:numCache>
                <c:formatCode>0.00</c:formatCode>
                <c:ptCount val="2"/>
                <c:pt idx="0" formatCode="General">
                  <c:v>7</c:v>
                </c:pt>
                <c:pt idx="1">
                  <c:v>14.615384615384615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7-4697-99E0-632A2F474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4689136"/>
        <c:axId val="1414689616"/>
      </c:barChart>
      <c:catAx>
        <c:axId val="141468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616"/>
        <c:crosses val="autoZero"/>
        <c:auto val="1"/>
        <c:lblAlgn val="ctr"/>
        <c:lblOffset val="100"/>
        <c:noMultiLvlLbl val="0"/>
      </c:catAx>
      <c:valAx>
        <c:axId val="14146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Study 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prepare!$B$20:$B$21</c:f>
              <c:strCache>
                <c:ptCount val="2"/>
                <c:pt idx="0">
                  <c:v>Study Time Comparison</c:v>
                </c:pt>
                <c:pt idx="1">
                  <c:v>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prepare!$A$22:$A$23</c:f>
              <c:strCache>
                <c:ptCount val="2"/>
                <c:pt idx="0">
                  <c:v>Hours</c:v>
                </c:pt>
                <c:pt idx="1">
                  <c:v>Average</c:v>
                </c:pt>
              </c:strCache>
            </c:strRef>
          </c:cat>
          <c:val>
            <c:numRef>
              <c:f>prepare!$B$22:$B$23</c:f>
              <c:numCache>
                <c:formatCode>0.00</c:formatCode>
                <c:ptCount val="2"/>
                <c:pt idx="0">
                  <c:v>19.833722807854699</c:v>
                </c:pt>
                <c:pt idx="1">
                  <c:v>9.9480693951685026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D-4668-BF65-0D21C5C341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707856"/>
        <c:axId val="1414697296"/>
      </c:barChart>
      <c:catAx>
        <c:axId val="141470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97296"/>
        <c:crosses val="autoZero"/>
        <c:auto val="1"/>
        <c:lblAlgn val="ctr"/>
        <c:lblOffset val="100"/>
        <c:noMultiLvlLbl val="0"/>
      </c:catAx>
      <c:valAx>
        <c:axId val="14146972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33000">
          <a:schemeClr val="accent4">
            <a:lumMod val="5000"/>
            <a:lumOff val="95000"/>
          </a:schemeClr>
        </a:gs>
        <a:gs pos="6000">
          <a:schemeClr val="accent4">
            <a:lumMod val="40000"/>
            <a:lumOff val="6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</a:t>
            </a:r>
            <a:r>
              <a:rPr lang="en-IN" baseline="0"/>
              <a:t>-wise Marks</a:t>
            </a:r>
            <a:endParaRPr lang="en-IN"/>
          </a:p>
        </c:rich>
      </c:tx>
      <c:layout>
        <c:manualLayout>
          <c:xMode val="edge"/>
          <c:yMode val="edge"/>
          <c:x val="0.26156239381897145"/>
          <c:y val="2.0128575700189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9940464758978295E-2"/>
          <c:y val="0.19739682539682543"/>
          <c:w val="0.86878373786766339"/>
          <c:h val="0.524266966629171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prepare!$B$12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prepare!$A$13:$A$18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Mathematics</c:v>
                </c:pt>
                <c:pt idx="3">
                  <c:v>Philosophy</c:v>
                </c:pt>
                <c:pt idx="4">
                  <c:v>Physics</c:v>
                </c:pt>
                <c:pt idx="5">
                  <c:v>Sociology</c:v>
                </c:pt>
              </c:strCache>
            </c:strRef>
          </c:cat>
          <c:val>
            <c:numRef>
              <c:f>prepare!$B$13:$B$18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35</c:v>
                </c:pt>
                <c:pt idx="4">
                  <c:v>69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7-4CDC-9732-6C29043907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8252304"/>
        <c:axId val="1378269104"/>
      </c:barChart>
      <c:catAx>
        <c:axId val="13782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69104"/>
        <c:crosses val="autoZero"/>
        <c:auto val="1"/>
        <c:lblAlgn val="ctr"/>
        <c:lblOffset val="100"/>
        <c:noMultiLvlLbl val="0"/>
      </c:catAx>
      <c:valAx>
        <c:axId val="137826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5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65000">
          <a:schemeClr val="accent4">
            <a:lumMod val="5000"/>
            <a:lumOff val="95000"/>
            <a:alpha val="95000"/>
          </a:schemeClr>
        </a:gs>
        <a:gs pos="8000">
          <a:schemeClr val="accent4">
            <a:lumMod val="40000"/>
            <a:lumOff val="6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Absence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88645789505319"/>
          <c:y val="0.30297874530389585"/>
          <c:w val="0.75280819859349646"/>
          <c:h val="0.459135634361494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prepare!$O$17:$O$18</c:f>
              <c:strCache>
                <c:ptCount val="2"/>
                <c:pt idx="0">
                  <c:v>Absence Comparison</c:v>
                </c:pt>
                <c:pt idx="1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prepare!$N$19:$N$20</c:f>
              <c:strCache>
                <c:ptCount val="2"/>
                <c:pt idx="0">
                  <c:v>Absent days</c:v>
                </c:pt>
                <c:pt idx="1">
                  <c:v>Average</c:v>
                </c:pt>
              </c:strCache>
            </c:strRef>
          </c:cat>
          <c:val>
            <c:numRef>
              <c:f>prepare!$O$19:$O$20</c:f>
              <c:numCache>
                <c:formatCode>0.00</c:formatCode>
                <c:ptCount val="2"/>
                <c:pt idx="0" formatCode="General">
                  <c:v>7</c:v>
                </c:pt>
                <c:pt idx="1">
                  <c:v>14.615384615384615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0-4B8E-ABE8-59300832C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689136"/>
        <c:axId val="1414689616"/>
      </c:barChart>
      <c:catAx>
        <c:axId val="141468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616"/>
        <c:crosses val="autoZero"/>
        <c:auto val="1"/>
        <c:lblAlgn val="ctr"/>
        <c:lblOffset val="100"/>
        <c:noMultiLvlLbl val="0"/>
      </c:catAx>
      <c:valAx>
        <c:axId val="14146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89136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38000">
          <a:schemeClr val="accent4">
            <a:lumMod val="7000"/>
            <a:lumOff val="93000"/>
          </a:schemeClr>
        </a:gs>
        <a:gs pos="91000">
          <a:schemeClr val="accent4">
            <a:lumMod val="45000"/>
            <a:lumOff val="55000"/>
          </a:schemeClr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Strength vs Weekness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132681967129918E-2"/>
          <c:y val="0.30594377510040166"/>
          <c:w val="0.89573463606574022"/>
          <c:h val="0.42999905132340382"/>
        </c:manualLayout>
      </c:layout>
      <c:pie3DChart>
        <c:varyColors val="1"/>
        <c:ser>
          <c:idx val="0"/>
          <c:order val="0"/>
          <c:tx>
            <c:strRef>
              <c:f>dashboard!$B$51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320-414B-B828-053656C5DBD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320-414B-B828-053656C5DBD2}"/>
              </c:ext>
            </c:extLst>
          </c:dPt>
          <c:cat>
            <c:strRef>
              <c:f>dashboard!$A$52:$A$53</c:f>
              <c:strCache>
                <c:ptCount val="2"/>
                <c:pt idx="0">
                  <c:v>Strength</c:v>
                </c:pt>
                <c:pt idx="1">
                  <c:v>weakness</c:v>
                </c:pt>
              </c:strCache>
            </c:strRef>
          </c:cat>
          <c:val>
            <c:numRef>
              <c:f>dashboard!$B$52:$B$53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0-414B-B828-053656C5D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4F4A4"/>
        </a:gs>
        <a:gs pos="27000">
          <a:schemeClr val="accent4">
            <a:lumMod val="5000"/>
            <a:lumOff val="95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dashboard!$I$66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B-4C17-98C4-02ED62DDA0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3B-4C17-98C4-02ED62DDA0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dashboard!$H$67:$H$68</c:f>
              <c:strCache>
                <c:ptCount val="1"/>
                <c:pt idx="0">
                  <c:v>Strong</c:v>
                </c:pt>
              </c:strCache>
            </c:strRef>
          </c:cat>
          <c:val>
            <c:numRef>
              <c:f>dashboard!$I$67:$I$68</c:f>
              <c:numCache>
                <c:formatCode>General</c:formatCode>
                <c:ptCount val="2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B-4C17-98C4-02ED62DDA0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3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9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8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1</xdr:row>
      <xdr:rowOff>31750</xdr:rowOff>
    </xdr:from>
    <xdr:to>
      <xdr:col>17</xdr:col>
      <xdr:colOff>342900</xdr:colOff>
      <xdr:row>13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FEF71-8CD4-E38B-714C-19418AB81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485775</xdr:colOff>
      <xdr:row>13</xdr:row>
      <xdr:rowOff>139700</xdr:rowOff>
    </xdr:from>
    <xdr:to>
      <xdr:col>11</xdr:col>
      <xdr:colOff>180975</xdr:colOff>
      <xdr:row>23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F827E3-CB17-F262-8722-9D6498F46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127000</xdr:colOff>
      <xdr:row>1</xdr:row>
      <xdr:rowOff>114300</xdr:rowOff>
    </xdr:from>
    <xdr:to>
      <xdr:col>12</xdr:col>
      <xdr:colOff>76200</xdr:colOff>
      <xdr:row>9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F9C0F8-4B7A-B5E7-893E-0AEFABA6C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425450</xdr:colOff>
      <xdr:row>22</xdr:row>
      <xdr:rowOff>25400</xdr:rowOff>
    </xdr:from>
    <xdr:to>
      <xdr:col>16</xdr:col>
      <xdr:colOff>476250</xdr:colOff>
      <xdr:row>30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6A29F0-C44F-52FC-85DC-11940F2D3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527050</xdr:colOff>
      <xdr:row>4</xdr:row>
      <xdr:rowOff>31750</xdr:rowOff>
    </xdr:from>
    <xdr:to>
      <xdr:col>10</xdr:col>
      <xdr:colOff>558800</xdr:colOff>
      <xdr:row>13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DF94E-3EB4-438C-BF87-5FC808644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25400</xdr:colOff>
      <xdr:row>0</xdr:row>
      <xdr:rowOff>57150</xdr:rowOff>
    </xdr:from>
    <xdr:to>
      <xdr:col>16</xdr:col>
      <xdr:colOff>361950</xdr:colOff>
      <xdr:row>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287CC3-06C7-4BD5-9DA6-2C590C0A4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31750</xdr:colOff>
      <xdr:row>10</xdr:row>
      <xdr:rowOff>50800</xdr:rowOff>
    </xdr:from>
    <xdr:to>
      <xdr:col>16</xdr:col>
      <xdr:colOff>381000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CE02CB-C503-4AEB-8E95-0EA6E9A95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6350</xdr:colOff>
      <xdr:row>0</xdr:row>
      <xdr:rowOff>19050</xdr:rowOff>
    </xdr:from>
    <xdr:to>
      <xdr:col>1</xdr:col>
      <xdr:colOff>1549400</xdr:colOff>
      <xdr:row>2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C7AFAB6-E778-2761-C606-F2337507953C}"/>
            </a:ext>
          </a:extLst>
        </xdr:cNvPr>
        <xdr:cNvSpPr/>
      </xdr:nvSpPr>
      <xdr:spPr>
        <a:xfrm>
          <a:off x="6350" y="19050"/>
          <a:ext cx="2647950" cy="50165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 editAs="oneCell">
    <xdr:from>
      <xdr:col>1</xdr:col>
      <xdr:colOff>6350</xdr:colOff>
      <xdr:row>2</xdr:row>
      <xdr:rowOff>177800</xdr:rowOff>
    </xdr:from>
    <xdr:to>
      <xdr:col>1</xdr:col>
      <xdr:colOff>228600</xdr:colOff>
      <xdr:row>4</xdr:row>
      <xdr:rowOff>19050</xdr:rowOff>
    </xdr:to>
    <xdr:pic>
      <xdr:nvPicPr>
        <xdr:cNvPr id="10" name="Graphic 9" descr="User with solid fill">
          <a:extLst>
            <a:ext uri="{FF2B5EF4-FFF2-40B4-BE49-F238E27FC236}">
              <a16:creationId xmlns:a16="http://schemas.microsoft.com/office/drawing/2014/main" id="{12BD7B87-A740-290D-03E2-9229714A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11250" y="546100"/>
          <a:ext cx="222250" cy="222250"/>
        </a:xfrm>
        <a:prstGeom prst="rect">
          <a:avLst/>
        </a:prstGeom>
      </xdr:spPr>
    </xdr:pic>
    <xdr:clientData/>
  </xdr:twoCellAnchor>
  <xdr:twoCellAnchor editAs="absolute">
    <xdr:from>
      <xdr:col>2</xdr:col>
      <xdr:colOff>107950</xdr:colOff>
      <xdr:row>0</xdr:row>
      <xdr:rowOff>95250</xdr:rowOff>
    </xdr:from>
    <xdr:to>
      <xdr:col>4</xdr:col>
      <xdr:colOff>234950</xdr:colOff>
      <xdr:row>3</xdr:row>
      <xdr:rowOff>127000</xdr:rowOff>
    </xdr:to>
    <xdr:sp macro="" textlink="$D$51">
      <xdr:nvSpPr>
        <xdr:cNvPr id="12" name="Rectangle 11">
          <a:extLst>
            <a:ext uri="{FF2B5EF4-FFF2-40B4-BE49-F238E27FC236}">
              <a16:creationId xmlns:a16="http://schemas.microsoft.com/office/drawing/2014/main" id="{809659B9-B3E1-7684-D367-81A27B7F7866}"/>
            </a:ext>
          </a:extLst>
        </xdr:cNvPr>
        <xdr:cNvSpPr/>
      </xdr:nvSpPr>
      <xdr:spPr>
        <a:xfrm>
          <a:off x="2781300" y="95250"/>
          <a:ext cx="1479550" cy="5905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Average Marks</a:t>
          </a:r>
        </a:p>
        <a:p>
          <a:pPr algn="ctr"/>
          <a:fld id="{41717C62-4522-436A-A13A-152D60471676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60.33</a:t>
          </a:fld>
          <a:endParaRPr lang="en-US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317500</xdr:colOff>
      <xdr:row>0</xdr:row>
      <xdr:rowOff>101600</xdr:rowOff>
    </xdr:from>
    <xdr:to>
      <xdr:col>7</xdr:col>
      <xdr:colOff>114300</xdr:colOff>
      <xdr:row>3</xdr:row>
      <xdr:rowOff>133350</xdr:rowOff>
    </xdr:to>
    <xdr:sp macro="" textlink="$C$51">
      <xdr:nvSpPr>
        <xdr:cNvPr id="8" name="Rectangle 7">
          <a:extLst>
            <a:ext uri="{FF2B5EF4-FFF2-40B4-BE49-F238E27FC236}">
              <a16:creationId xmlns:a16="http://schemas.microsoft.com/office/drawing/2014/main" id="{383891FC-4A32-E299-1B5E-80AC36BE2852}"/>
            </a:ext>
          </a:extLst>
        </xdr:cNvPr>
        <xdr:cNvSpPr/>
      </xdr:nvSpPr>
      <xdr:spPr>
        <a:xfrm>
          <a:off x="4343400" y="101600"/>
          <a:ext cx="1587500" cy="5905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 Attendance</a:t>
          </a:r>
        </a:p>
        <a:p>
          <a:pPr marL="0" indent="0" algn="ctr"/>
          <a:fld id="{2E916C82-F2C8-4CE4-A5BA-0450AFD347BB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71.00%</a:t>
          </a:fld>
          <a:endParaRPr lang="en-IN" sz="140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7</xdr:col>
      <xdr:colOff>203200</xdr:colOff>
      <xdr:row>0</xdr:row>
      <xdr:rowOff>114300</xdr:rowOff>
    </xdr:from>
    <xdr:to>
      <xdr:col>8</xdr:col>
      <xdr:colOff>514350</xdr:colOff>
      <xdr:row>3</xdr:row>
      <xdr:rowOff>133350</xdr:rowOff>
    </xdr:to>
    <xdr:sp macro="" textlink="$F$51">
      <xdr:nvSpPr>
        <xdr:cNvPr id="9" name="Rectangle 8">
          <a:extLst>
            <a:ext uri="{FF2B5EF4-FFF2-40B4-BE49-F238E27FC236}">
              <a16:creationId xmlns:a16="http://schemas.microsoft.com/office/drawing/2014/main" id="{8718298E-500C-DFB9-8C13-EEB704B6E394}"/>
            </a:ext>
          </a:extLst>
        </xdr:cNvPr>
        <xdr:cNvSpPr/>
      </xdr:nvSpPr>
      <xdr:spPr>
        <a:xfrm>
          <a:off x="6019800" y="114300"/>
          <a:ext cx="920750" cy="5778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Rank</a:t>
          </a:r>
        </a:p>
        <a:p>
          <a:pPr marL="0" indent="0" algn="ctr"/>
          <a:fld id="{625C4F29-E65E-4A33-8CBB-4406EC7E82F9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33</a:t>
          </a:fld>
          <a:endParaRPr lang="en-IN" sz="140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2</xdr:col>
      <xdr:colOff>126999</xdr:colOff>
      <xdr:row>4</xdr:row>
      <xdr:rowOff>31750</xdr:rowOff>
    </xdr:from>
    <xdr:to>
      <xdr:col>5</xdr:col>
      <xdr:colOff>450850</xdr:colOff>
      <xdr:row>14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CE1577-F120-33E2-192B-B795AF961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9</xdr:col>
      <xdr:colOff>0</xdr:colOff>
      <xdr:row>0</xdr:row>
      <xdr:rowOff>114300</xdr:rowOff>
    </xdr:from>
    <xdr:to>
      <xdr:col>10</xdr:col>
      <xdr:colOff>571500</xdr:colOff>
      <xdr:row>3</xdr:row>
      <xdr:rowOff>127000</xdr:rowOff>
    </xdr:to>
    <xdr:sp macro="" textlink="$J$59">
      <xdr:nvSpPr>
        <xdr:cNvPr id="17" name="Rectangle 16">
          <a:extLst>
            <a:ext uri="{FF2B5EF4-FFF2-40B4-BE49-F238E27FC236}">
              <a16:creationId xmlns:a16="http://schemas.microsoft.com/office/drawing/2014/main" id="{EE4E7906-8F67-9174-0970-AF6000526815}"/>
            </a:ext>
          </a:extLst>
        </xdr:cNvPr>
        <xdr:cNvSpPr/>
      </xdr:nvSpPr>
      <xdr:spPr>
        <a:xfrm>
          <a:off x="7035800" y="114300"/>
          <a:ext cx="1181100" cy="57150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Grade Class</a:t>
          </a:r>
        </a:p>
        <a:p>
          <a:pPr marL="0" indent="0" algn="ctr"/>
          <a:fld id="{9328DAC0-5942-47DD-A559-5DEB2A68FA38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Poor</a:t>
          </a:fld>
          <a:endParaRPr lang="en-IN" sz="140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57</xdr:row>
      <xdr:rowOff>107878</xdr:rowOff>
    </xdr:from>
    <xdr:to>
      <xdr:col>1</xdr:col>
      <xdr:colOff>894535</xdr:colOff>
      <xdr:row>65</xdr:row>
      <xdr:rowOff>46896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0A88CE3-ADE8-8DEC-8925-CD58B1957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</xdr:col>
      <xdr:colOff>57150</xdr:colOff>
      <xdr:row>17</xdr:row>
      <xdr:rowOff>82550</xdr:rowOff>
    </xdr:from>
    <xdr:to>
      <xdr:col>15</xdr:col>
      <xdr:colOff>292100</xdr:colOff>
      <xdr:row>20</xdr:row>
      <xdr:rowOff>171450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417A9F5-AFCC-4F8E-B24E-5BBD9DADD460}"/>
            </a:ext>
          </a:extLst>
        </xdr:cNvPr>
        <xdr:cNvSpPr/>
      </xdr:nvSpPr>
      <xdr:spPr>
        <a:xfrm>
          <a:off x="2730500" y="3035300"/>
          <a:ext cx="8255000" cy="641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1016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Student Profile</a:t>
          </a:r>
        </a:p>
      </xdr:txBody>
    </xdr:sp>
    <xdr:clientData/>
  </xdr:twoCellAnchor>
  <xdr:twoCellAnchor editAs="absolute">
    <xdr:from>
      <xdr:col>2</xdr:col>
      <xdr:colOff>107950</xdr:colOff>
      <xdr:row>17</xdr:row>
      <xdr:rowOff>107950</xdr:rowOff>
    </xdr:from>
    <xdr:to>
      <xdr:col>3</xdr:col>
      <xdr:colOff>971550</xdr:colOff>
      <xdr:row>20</xdr:row>
      <xdr:rowOff>63500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6E4659C-0460-F720-A8F6-4D414BFFC4D8}"/>
            </a:ext>
          </a:extLst>
        </xdr:cNvPr>
        <xdr:cNvSpPr/>
      </xdr:nvSpPr>
      <xdr:spPr>
        <a:xfrm>
          <a:off x="2781300" y="3124200"/>
          <a:ext cx="1066800" cy="5080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Student Profile</a:t>
          </a:r>
        </a:p>
      </xdr:txBody>
    </xdr:sp>
    <xdr:clientData/>
  </xdr:twoCellAnchor>
  <xdr:twoCellAnchor editAs="absolute">
    <xdr:from>
      <xdr:col>3</xdr:col>
      <xdr:colOff>1073150</xdr:colOff>
      <xdr:row>17</xdr:row>
      <xdr:rowOff>107950</xdr:rowOff>
    </xdr:from>
    <xdr:to>
      <xdr:col>5</xdr:col>
      <xdr:colOff>336550</xdr:colOff>
      <xdr:row>20</xdr:row>
      <xdr:rowOff>76200</xdr:rowOff>
    </xdr:to>
    <xdr:sp macro="" textlink="$D$63">
      <xdr:nvSpPr>
        <xdr:cNvPr id="21" name="Rectangle 20">
          <a:extLst>
            <a:ext uri="{FF2B5EF4-FFF2-40B4-BE49-F238E27FC236}">
              <a16:creationId xmlns:a16="http://schemas.microsoft.com/office/drawing/2014/main" id="{5C6EE61D-0592-98E0-2A7D-1CAE67D1F06F}"/>
            </a:ext>
          </a:extLst>
        </xdr:cNvPr>
        <xdr:cNvSpPr/>
      </xdr:nvSpPr>
      <xdr:spPr>
        <a:xfrm>
          <a:off x="3949700" y="3060700"/>
          <a:ext cx="1022350" cy="52070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Tutoring</a:t>
          </a:r>
        </a:p>
        <a:p>
          <a:pPr marL="0" indent="0" algn="ctr"/>
          <a:fld id="{7B17946E-E2F5-433B-BB06-A3AE68EE8701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No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5</xdr:col>
      <xdr:colOff>476250</xdr:colOff>
      <xdr:row>17</xdr:row>
      <xdr:rowOff>107950</xdr:rowOff>
    </xdr:from>
    <xdr:to>
      <xdr:col>6</xdr:col>
      <xdr:colOff>508000</xdr:colOff>
      <xdr:row>20</xdr:row>
      <xdr:rowOff>82550</xdr:rowOff>
    </xdr:to>
    <xdr:sp macro="" textlink="$I$52">
      <xdr:nvSpPr>
        <xdr:cNvPr id="15" name="Rectangle 14">
          <a:extLst>
            <a:ext uri="{FF2B5EF4-FFF2-40B4-BE49-F238E27FC236}">
              <a16:creationId xmlns:a16="http://schemas.microsoft.com/office/drawing/2014/main" id="{6B300837-2B00-A20A-656B-A71A2E5C6A5C}"/>
            </a:ext>
          </a:extLst>
        </xdr:cNvPr>
        <xdr:cNvSpPr/>
      </xdr:nvSpPr>
      <xdr:spPr>
        <a:xfrm>
          <a:off x="5111750" y="3060700"/>
          <a:ext cx="641350" cy="52705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Sports</a:t>
          </a:r>
        </a:p>
        <a:p>
          <a:pPr marL="0" indent="0" algn="ctr"/>
          <a:fld id="{1407C6F7-0DC4-4C80-9B39-FA717262D857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No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7</xdr:col>
      <xdr:colOff>63500</xdr:colOff>
      <xdr:row>17</xdr:row>
      <xdr:rowOff>101600</xdr:rowOff>
    </xdr:from>
    <xdr:to>
      <xdr:col>9</xdr:col>
      <xdr:colOff>234950</xdr:colOff>
      <xdr:row>20</xdr:row>
      <xdr:rowOff>88900</xdr:rowOff>
    </xdr:to>
    <xdr:sp macro="" textlink="$E$66">
      <xdr:nvSpPr>
        <xdr:cNvPr id="20" name="Rectangle 19">
          <a:extLst>
            <a:ext uri="{FF2B5EF4-FFF2-40B4-BE49-F238E27FC236}">
              <a16:creationId xmlns:a16="http://schemas.microsoft.com/office/drawing/2014/main" id="{C5177A70-3C93-4E90-674B-21D723398ADB}"/>
            </a:ext>
          </a:extLst>
        </xdr:cNvPr>
        <xdr:cNvSpPr/>
      </xdr:nvSpPr>
      <xdr:spPr>
        <a:xfrm>
          <a:off x="5880100" y="3054350"/>
          <a:ext cx="1390650" cy="53975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Parental Support</a:t>
          </a:r>
        </a:p>
        <a:p>
          <a:pPr marL="0" indent="0" algn="ctr"/>
          <a:fld id="{9BE164A7-2B61-4214-B475-AB32B4C58513}" type="TxLink"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Low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9</xdr:col>
      <xdr:colOff>354815</xdr:colOff>
      <xdr:row>17</xdr:row>
      <xdr:rowOff>88900</xdr:rowOff>
    </xdr:from>
    <xdr:to>
      <xdr:col>11</xdr:col>
      <xdr:colOff>310365</xdr:colOff>
      <xdr:row>20</xdr:row>
      <xdr:rowOff>120650</xdr:rowOff>
    </xdr:to>
    <xdr:sp macro="" textlink="$G$59">
      <xdr:nvSpPr>
        <xdr:cNvPr id="18" name="Rectangle 17">
          <a:extLst>
            <a:ext uri="{FF2B5EF4-FFF2-40B4-BE49-F238E27FC236}">
              <a16:creationId xmlns:a16="http://schemas.microsoft.com/office/drawing/2014/main" id="{4785998C-088C-C4D4-4BEF-7C54BA81591B}"/>
            </a:ext>
          </a:extLst>
        </xdr:cNvPr>
        <xdr:cNvSpPr/>
      </xdr:nvSpPr>
      <xdr:spPr>
        <a:xfrm>
          <a:off x="7375489" y="3056990"/>
          <a:ext cx="1168472" cy="588267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Extra Curriculum</a:t>
          </a:r>
        </a:p>
        <a:p>
          <a:pPr marL="0" indent="0" algn="ctr"/>
          <a:fld id="{8BA0580C-1A57-488E-A623-68C795BC47C1}" type="TxLink"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No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11</xdr:col>
      <xdr:colOff>463550</xdr:colOff>
      <xdr:row>17</xdr:row>
      <xdr:rowOff>107950</xdr:rowOff>
    </xdr:from>
    <xdr:to>
      <xdr:col>13</xdr:col>
      <xdr:colOff>120650</xdr:colOff>
      <xdr:row>20</xdr:row>
      <xdr:rowOff>69850</xdr:rowOff>
    </xdr:to>
    <xdr:sp macro="" textlink="$I$52">
      <xdr:nvSpPr>
        <xdr:cNvPr id="16" name="Rectangle 15">
          <a:extLst>
            <a:ext uri="{FF2B5EF4-FFF2-40B4-BE49-F238E27FC236}">
              <a16:creationId xmlns:a16="http://schemas.microsoft.com/office/drawing/2014/main" id="{9D7998DE-351E-8621-61DA-ECAE065305EE}"/>
            </a:ext>
          </a:extLst>
        </xdr:cNvPr>
        <xdr:cNvSpPr/>
      </xdr:nvSpPr>
      <xdr:spPr>
        <a:xfrm>
          <a:off x="8718550" y="3060700"/>
          <a:ext cx="876300" cy="51435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Music</a:t>
          </a:r>
        </a:p>
        <a:p>
          <a:pPr marL="0" indent="0" algn="ctr"/>
          <a:fld id="{FEE52232-08CE-490D-A51B-737FB95B41B8}" type="TxLink"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No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13</xdr:col>
      <xdr:colOff>266700</xdr:colOff>
      <xdr:row>17</xdr:row>
      <xdr:rowOff>114300</xdr:rowOff>
    </xdr:from>
    <xdr:to>
      <xdr:col>15</xdr:col>
      <xdr:colOff>101600</xdr:colOff>
      <xdr:row>20</xdr:row>
      <xdr:rowOff>76200</xdr:rowOff>
    </xdr:to>
    <xdr:sp macro="" textlink="$K$64">
      <xdr:nvSpPr>
        <xdr:cNvPr id="19" name="Rectangle 18">
          <a:extLst>
            <a:ext uri="{FF2B5EF4-FFF2-40B4-BE49-F238E27FC236}">
              <a16:creationId xmlns:a16="http://schemas.microsoft.com/office/drawing/2014/main" id="{02D443FD-1A36-A68C-0594-E53133D6C31A}"/>
            </a:ext>
          </a:extLst>
        </xdr:cNvPr>
        <xdr:cNvSpPr/>
      </xdr:nvSpPr>
      <xdr:spPr>
        <a:xfrm>
          <a:off x="9740900" y="3067050"/>
          <a:ext cx="1054100" cy="51435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Voluntering</a:t>
          </a:r>
        </a:p>
        <a:p>
          <a:pPr marL="0" indent="0" algn="ctr"/>
          <a:fld id="{AA47526B-35E2-450A-94B9-8BBA0E13DB82}" type="TxLink">
            <a:rPr lang="en-US" sz="11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No</a:t>
          </a:fld>
          <a:endParaRPr lang="en-IN" sz="1050" b="1" i="0" u="none" strike="noStrike">
            <a:solidFill>
              <a:schemeClr val="bg1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0E5908-0A0D-4575-B3C0-AEF284725BD4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A0CEB2-1F90-4AD6-A801-3AC5D6AD87C9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A1A0FA-2529-437A-AEEE-C522156E372B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C7677A-2C54-4FE6-AF5E-7ED6D4A3F47F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D3723C7-DFA8-4A32-835C-AB19D40AE919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E200D3F-00A6-46CF-BABC-5FEFB4743CF8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725F5A-FBBF-4342-8C71-38FF454B2A2C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Student name" tableColumnId="2"/>
      <queryTableField id="3" name="Exam name" tableColumnId="3"/>
      <queryTableField id="4" name="Exam date" tableColumnId="4"/>
      <queryTableField id="5" name="Exam points" tableColumnId="5"/>
      <queryTableField id="6" name="Strengths/weaknes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EB3344-E433-44F0-91F4-5412A1A0CCE3}" name="biology_1" displayName="biology_1" ref="A1:F39" tableType="queryTable" totalsRowShown="0">
  <autoFilter ref="A1:F39" xr:uid="{F6EB3344-E433-44F0-91F4-5412A1A0CCE3}"/>
  <tableColumns count="6">
    <tableColumn id="1" xr3:uid="{C2825878-D7CF-48F4-8280-92DD53D6CB76}" uniqueName="1" name="StudentID" queryTableFieldId="1"/>
    <tableColumn id="2" xr3:uid="{AFD84DA8-AF69-44E8-9035-8295266153EA}" uniqueName="2" name="Student name" queryTableFieldId="2" dataDxfId="66"/>
    <tableColumn id="3" xr3:uid="{7AD4F3EB-8E79-4B86-A97C-A47969CEB368}" uniqueName="3" name="Exam name" queryTableFieldId="3" dataDxfId="65"/>
    <tableColumn id="4" xr3:uid="{3F2FEC5F-7426-42D5-A8F1-5EE6A0D2C610}" uniqueName="4" name="Exam date" queryTableFieldId="4" dataDxfId="64"/>
    <tableColumn id="5" xr3:uid="{B91DAF4C-7A69-44C9-8DAE-CA0B8BB305E2}" uniqueName="5" name="Exam points" queryTableFieldId="5"/>
    <tableColumn id="6" xr3:uid="{25B53FB1-1503-423A-A09F-FE5378329965}" uniqueName="6" name="Strengths/weaknes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7B21B-B5CA-4EA9-B4C0-C5D97AECEAA7}" name="biology" displayName="biology" ref="A1:F39" totalsRowShown="0" headerRowDxfId="63">
  <autoFilter ref="A1:F39" xr:uid="{1C17B21B-B5CA-4EA9-B4C0-C5D97AECEAA7}"/>
  <tableColumns count="6">
    <tableColumn id="1" xr3:uid="{E08BEFE1-9B31-48B1-96C5-9AE454F6D358}" name="StudentID"/>
    <tableColumn id="2" xr3:uid="{ED746F1E-8381-413C-A93C-79BA0CEDAA5B}" name="Student name"/>
    <tableColumn id="3" xr3:uid="{B1F237C2-CB1E-4C91-A1D3-F2AF18DA31C2}" name="Exam name"/>
    <tableColumn id="4" xr3:uid="{224A5665-B291-4A96-81FC-CDAE65ABB052}" name="Exam date"/>
    <tableColumn id="5" xr3:uid="{1AAF6C80-574E-489E-860F-0AD0053C0CB1}" name="Exam points" dataDxfId="62"/>
    <tableColumn id="6" xr3:uid="{0C8A995D-D004-4DC4-B0FB-731468F77CA5}" name="Strengths/weakness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00891D-FE53-4B9E-82D5-37416D6B6BE0}" name="chemistry_" displayName="chemistry_" ref="A1:F28" tableType="queryTable" totalsRowShown="0">
  <autoFilter ref="A1:F28" xr:uid="{F100891D-FE53-4B9E-82D5-37416D6B6BE0}"/>
  <tableColumns count="6">
    <tableColumn id="1" xr3:uid="{38E34692-B118-4039-BBAC-DD3C6087F14C}" uniqueName="1" name="StudentID" queryTableFieldId="1"/>
    <tableColumn id="2" xr3:uid="{E69356A9-315C-4916-B549-7DE53DD82E69}" uniqueName="2" name="Student name" queryTableFieldId="2" dataDxfId="61"/>
    <tableColumn id="3" xr3:uid="{6C0E76CB-6B04-4FDB-9F4E-26A12CB846FD}" uniqueName="3" name="Exam name" queryTableFieldId="3" dataDxfId="60"/>
    <tableColumn id="4" xr3:uid="{6CC4BCE2-2AC5-4E58-9B07-CE37CC0D0784}" uniqueName="4" name="Exam date" queryTableFieldId="4" dataDxfId="59"/>
    <tableColumn id="5" xr3:uid="{2F0628F0-A230-4684-8D2C-2132EA7E2B39}" uniqueName="5" name="Exam points" queryTableFieldId="5"/>
    <tableColumn id="6" xr3:uid="{EA24B254-2AFB-4498-A0B3-A1F63892699A}" uniqueName="6" name="Strengths/weaknes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6A6A5F-ACCC-4D33-95D0-7CC6789FC47B}" name="chemistry" displayName="chemistry" ref="A1:F28" totalsRowShown="0" headerRowDxfId="58">
  <autoFilter ref="A1:F28" xr:uid="{206A6A5F-ACCC-4D33-95D0-7CC6789FC47B}"/>
  <tableColumns count="6">
    <tableColumn id="1" xr3:uid="{25AE5EB9-A289-4BF5-8111-1B1407EC1DA0}" name="StudentID" dataDxfId="57"/>
    <tableColumn id="2" xr3:uid="{EB60EE58-BB58-4759-A1C4-5938516C6C5B}" name="Student name"/>
    <tableColumn id="3" xr3:uid="{5AC03030-C524-4DBD-91AB-37F1481FD4B4}" name="Exam name"/>
    <tableColumn id="4" xr3:uid="{803AFF48-E04D-42B7-962B-28C255F98381}" name="Exam date" dataDxfId="56"/>
    <tableColumn id="5" xr3:uid="{089F90A6-14AF-49EC-8C94-A551B1D4BF74}" name="Exam points" dataDxfId="55"/>
    <tableColumn id="6" xr3:uid="{919E2544-221D-4EF0-B81B-91DB2D6593A2}" name="Strengths/weakness" dataDxfId="54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7990FE-62B7-4CB5-9041-169100C23767}" name="mathematics_1" displayName="mathematics_1" ref="A1:F38" tableType="queryTable" totalsRowShown="0">
  <autoFilter ref="A1:F38" xr:uid="{017990FE-62B7-4CB5-9041-169100C23767}"/>
  <tableColumns count="6">
    <tableColumn id="1" xr3:uid="{B6446BB3-7130-45D8-A8D7-489F5CAA67EF}" uniqueName="1" name="StudentID" queryTableFieldId="1"/>
    <tableColumn id="2" xr3:uid="{759B550F-9434-4286-A11A-75213CE699BD}" uniqueName="2" name="Student name" queryTableFieldId="2" dataDxfId="53"/>
    <tableColumn id="3" xr3:uid="{7775A5FF-05D8-4AA9-8628-0E0FE5516937}" uniqueName="3" name="Exam name" queryTableFieldId="3" dataDxfId="52"/>
    <tableColumn id="4" xr3:uid="{9E78D7B2-5BFD-49B1-A387-E1394DFB054B}" uniqueName="4" name="Exam date" queryTableFieldId="4" dataDxfId="51"/>
    <tableColumn id="5" xr3:uid="{2E3C9DA4-F7C2-450E-BA5F-09E7A8F03CE7}" uniqueName="5" name="Exam points" queryTableFieldId="5"/>
    <tableColumn id="6" xr3:uid="{E000DF6F-1566-4125-BAC6-4A5DAA56FE77}" uniqueName="6" name="Strengths/weaknes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ECA489-15C8-4748-8D64-D6A30BBC4210}" name="mathematics" displayName="mathematics" ref="A1:F38" totalsRowShown="0">
  <autoFilter ref="A1:F38" xr:uid="{F7ECA489-15C8-4748-8D64-D6A30BBC4210}"/>
  <tableColumns count="6">
    <tableColumn id="1" xr3:uid="{D007D8E7-5369-482C-8378-8E86BC8869C3}" name="StudentID" dataDxfId="50"/>
    <tableColumn id="2" xr3:uid="{1AB23E37-8B7B-4F46-9988-A95B22C011EF}" name="Student name"/>
    <tableColumn id="3" xr3:uid="{7A98F00C-D0D9-4FB8-86C4-0A14F159132E}" name="Exam name"/>
    <tableColumn id="4" xr3:uid="{DCEFE3D0-CF35-4178-B959-62016C50B036}" name="Exam date" dataDxfId="49"/>
    <tableColumn id="5" xr3:uid="{41098910-0108-4763-ADF1-302480E2A4E8}" name="Exam points" dataDxfId="48"/>
    <tableColumn id="6" xr3:uid="{7AD023DA-0B23-4797-AD8E-12A71888054A}" name="Strengths/weakness" dataDxfId="47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6B0CA9-D35E-4135-8913-7342E4728853}" name="philosophy_1" displayName="philosophy_1" ref="A1:F39" tableType="queryTable" totalsRowShown="0">
  <autoFilter ref="A1:F39" xr:uid="{F36B0CA9-D35E-4135-8913-7342E4728853}"/>
  <tableColumns count="6">
    <tableColumn id="1" xr3:uid="{04E281E7-5EFE-4CE5-AF31-BDA61460C60C}" uniqueName="1" name="StudentID" queryTableFieldId="1"/>
    <tableColumn id="2" xr3:uid="{B4C0AF28-DB94-499B-808C-DC2A8BBD545A}" uniqueName="2" name="Student name" queryTableFieldId="2" dataDxfId="46"/>
    <tableColumn id="3" xr3:uid="{698CF038-6937-4136-BD99-C02058BF45CB}" uniqueName="3" name="Exam name" queryTableFieldId="3" dataDxfId="45"/>
    <tableColumn id="4" xr3:uid="{8B49915D-7DB8-457B-B77A-C753482FB454}" uniqueName="4" name="Exam date" queryTableFieldId="4" dataDxfId="44"/>
    <tableColumn id="5" xr3:uid="{6631E745-CBB1-47AD-B7EB-2182EF875969}" uniqueName="5" name="Exam points" queryTableFieldId="5"/>
    <tableColumn id="6" xr3:uid="{CE2628F9-5A27-4FF4-8453-30813EFA5917}" uniqueName="6" name="Strengths/weaknes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6BCB4-9B1E-4FD5-9963-4AFB3EC59E2E}" name="philosophy" displayName="philosophy" ref="A1:F39" totalsRowShown="0">
  <autoFilter ref="A1:F39" xr:uid="{4B06BCB4-9B1E-4FD5-9963-4AFB3EC59E2E}"/>
  <tableColumns count="6">
    <tableColumn id="1" xr3:uid="{2A96B32C-F4D1-428A-9C21-5C3C95A50F55}" name="StudentID" dataDxfId="43"/>
    <tableColumn id="2" xr3:uid="{9A3EA9B9-21F9-4E85-BE94-6C405EF246AD}" name="Student name"/>
    <tableColumn id="3" xr3:uid="{7D524569-0164-4D1C-B9D6-EC4941C35B57}" name="Exam name"/>
    <tableColumn id="4" xr3:uid="{CC55A3DE-426E-4976-8115-7E68D8CEA266}" name="Exam date" dataDxfId="42"/>
    <tableColumn id="5" xr3:uid="{F41FA341-912F-46E9-B711-15A3BB188F80}" name="Exam points" dataDxfId="41"/>
    <tableColumn id="6" xr3:uid="{5F0BF4DA-329A-454F-B9B7-3CC0D5C75B2E}" name="Strengths/weakness" dataDxfId="40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102162-C4D6-44D1-BFD4-2DDD9A2D1174}" name="physics_1" displayName="physics_1" ref="A1:F22" tableType="queryTable" totalsRowShown="0">
  <autoFilter ref="A1:F22" xr:uid="{81102162-C4D6-44D1-BFD4-2DDD9A2D1174}"/>
  <tableColumns count="6">
    <tableColumn id="1" xr3:uid="{3DF6D74B-116E-45FF-8037-5A1C102C9DC0}" uniqueName="1" name="StudentID" queryTableFieldId="1"/>
    <tableColumn id="2" xr3:uid="{4C3FC738-6563-421E-BB88-60CFC9CD8E9C}" uniqueName="2" name="Student name" queryTableFieldId="2" dataDxfId="39"/>
    <tableColumn id="3" xr3:uid="{9CF1E2F3-E2DD-4AA8-8BD8-F4541461E910}" uniqueName="3" name="Exam name" queryTableFieldId="3" dataDxfId="38"/>
    <tableColumn id="4" xr3:uid="{04429CBC-2FAC-4CEB-B12C-F2939F7585DE}" uniqueName="4" name="Exam date" queryTableFieldId="4" dataDxfId="37"/>
    <tableColumn id="5" xr3:uid="{9009478A-F9C7-416F-A009-400FB336F83C}" uniqueName="5" name="Exam points" queryTableFieldId="5"/>
    <tableColumn id="6" xr3:uid="{275D664B-2737-4261-9F7F-F2E05A1B17D3}" uniqueName="6" name="Strengths/weaknes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146412-7018-407A-ACB1-D71E0A11B399}" name="physics" displayName="physics" ref="A1:F22" totalsRowShown="0">
  <autoFilter ref="A1:F22" xr:uid="{6E146412-7018-407A-ACB1-D71E0A11B399}"/>
  <tableColumns count="6">
    <tableColumn id="1" xr3:uid="{2005F623-736F-4757-92B5-BC1084426E7F}" name="StudentID" dataDxfId="36"/>
    <tableColumn id="2" xr3:uid="{D2116BBC-A89E-40CD-9C7B-A0CC0CCB4E44}" name="Student name"/>
    <tableColumn id="3" xr3:uid="{28FE67D2-CAD4-4C88-A67E-751F025663BC}" name="Exam name"/>
    <tableColumn id="4" xr3:uid="{51A56699-6D04-4A4F-B065-82BD3E283C42}" name="Exam date" dataDxfId="35"/>
    <tableColumn id="5" xr3:uid="{7F3AA122-3BE1-41AB-B704-275E861995CF}" name="Exam points" dataDxfId="34"/>
    <tableColumn id="6" xr3:uid="{E91BCC22-2581-405E-8794-C74545C20D0F}" name="Strengths/weakness" dataDxfId="33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9DC168B-438F-463B-A262-7DD21C8688F2}" name="sociology" displayName="sociology" ref="A1:F40" tableType="queryTable" totalsRowShown="0">
  <autoFilter ref="A1:F40" xr:uid="{79DC168B-438F-463B-A262-7DD21C8688F2}"/>
  <tableColumns count="6">
    <tableColumn id="1" xr3:uid="{3C5E99B6-F058-485B-B455-87CB1BB822CC}" uniqueName="1" name="StudentID" queryTableFieldId="1"/>
    <tableColumn id="2" xr3:uid="{CCB086E4-3E07-48FB-98C8-F3601F59F198}" uniqueName="2" name="Student name" queryTableFieldId="2" dataDxfId="32"/>
    <tableColumn id="3" xr3:uid="{B36CE282-EB1F-4FA5-94A9-A2A5EAF61EB1}" uniqueName="3" name="Exam name" queryTableFieldId="3" dataDxfId="31"/>
    <tableColumn id="4" xr3:uid="{00484096-5E0F-4B45-9DC0-C01ED45C504C}" uniqueName="4" name="Exam date" queryTableFieldId="4" dataDxfId="30"/>
    <tableColumn id="5" xr3:uid="{C81F839F-C9E6-4697-AFAB-CFB41111F203}" uniqueName="5" name="Exam points" queryTableFieldId="5"/>
    <tableColumn id="6" xr3:uid="{A8FD2236-3C41-497E-B167-C2945CFF4098}" uniqueName="6" name="Strengths/weakness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9D0904-892A-4965-916E-C1FC359FC97A}" name="Table6" displayName="Table6" ref="A1:F40" totalsRowShown="0">
  <autoFilter ref="A1:F40" xr:uid="{B79D0904-892A-4965-916E-C1FC359FC97A}"/>
  <tableColumns count="6">
    <tableColumn id="1" xr3:uid="{C60F9703-AA7A-4879-9E47-813C21BA9DC7}" name="StudentID" dataDxfId="29"/>
    <tableColumn id="2" xr3:uid="{EAC040E3-1F74-425E-AD2D-25E0634C5E65}" name="Student name"/>
    <tableColumn id="3" xr3:uid="{13682C8F-6B72-4C86-8ED9-1DC14BACA6C1}" name="Exam name"/>
    <tableColumn id="4" xr3:uid="{99706D01-F120-473A-92CA-22B0D8232123}" name="Exam date" dataDxfId="28"/>
    <tableColumn id="5" xr3:uid="{278027F9-C285-461B-8771-282996C2AA38}" name="Exam points" dataDxfId="27"/>
    <tableColumn id="6" xr3:uid="{0397C1D2-15BE-422F-8996-D77B1BFC7B5F}" name="Strengths/weakness" dataDxfId="26">
      <calculatedColumnFormula>IF(E2&gt;=60,1,0)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E5B3106-689B-47E7-8315-250072636B08}" name="tble_students" displayName="tble_students" ref="A1:S40" totalsRowShown="0" headerRowDxfId="25">
  <autoFilter ref="A1:S40" xr:uid="{7E5B3106-689B-47E7-8315-250072636B08}"/>
  <tableColumns count="19">
    <tableColumn id="17" xr3:uid="{63B422A7-6A9E-40E4-9026-6109160BD177}" name="Student names" dataDxfId="24"/>
    <tableColumn id="2" xr3:uid="{F2C6E87B-BD3B-4DFA-AD6B-0D9A2C3924A4}" name="StudentID" dataDxfId="23"/>
    <tableColumn id="3" xr3:uid="{1B643F24-4277-42A3-8470-67B1150DB17A}" name="Age" dataDxfId="22"/>
    <tableColumn id="4" xr3:uid="{EA5DCE96-CF58-48CB-BC02-88301E503DE0}" name="Gender" dataDxfId="21"/>
    <tableColumn id="5" xr3:uid="{9932CF70-6BD5-48FA-9AF5-C1E57FE65EA6}" name="Ethnicity" dataDxfId="20"/>
    <tableColumn id="6" xr3:uid="{CC42AE0E-20F0-4260-BF70-5DEAFF8ADD8C}" name="ParentalEducation" dataDxfId="19"/>
    <tableColumn id="7" xr3:uid="{24F7744C-5D39-4297-9D84-17557AE8E0CD}" name="StudyTimeWeekly" dataDxfId="18"/>
    <tableColumn id="8" xr3:uid="{D3E01492-C400-45C8-94E8-DA7BA79BD860}" name="Absences" dataDxfId="17"/>
    <tableColumn id="9" xr3:uid="{8301B1E4-D4C4-4FF0-A218-F1EBE31B49BC}" name="Tutoring" dataDxfId="16"/>
    <tableColumn id="10" xr3:uid="{DD26962F-9AA1-4621-A5E8-6B375980DFAE}" name="ParentalSupport" dataDxfId="15"/>
    <tableColumn id="11" xr3:uid="{7FD7B581-B36F-4D38-B4FC-67C222A80360}" name="Extracurricular" dataDxfId="14"/>
    <tableColumn id="12" xr3:uid="{CA84A842-8EBC-44CE-AD2D-DE652CCC47D4}" name="Sports" dataDxfId="13"/>
    <tableColumn id="13" xr3:uid="{B803FCB6-6C71-4075-B240-122F9E7FD558}" name="Music" dataDxfId="12"/>
    <tableColumn id="14" xr3:uid="{193F7976-7BA2-400F-8CFB-F57954A1CBB1}" name="Volunteering" dataDxfId="11"/>
    <tableColumn id="15" xr3:uid="{1FD52B66-2636-4C5D-BBC3-F576C3525D7C}" name="GPA" dataDxfId="10"/>
    <tableColumn id="16" xr3:uid="{5A1DD021-13BA-4BAA-B0F2-C28F8A2FDA2F}" name="GradeClass" dataDxfId="9"/>
    <tableColumn id="1" xr3:uid="{15145065-6971-451D-8F76-1B2D2AEAB9CB}" name="High Performace Group" dataDxfId="8">
      <calculatedColumnFormula>IF(AND(G2&gt;=15,H2&lt;=10),"Yes","No")</calculatedColumnFormula>
    </tableColumn>
    <tableColumn id="18" xr3:uid="{6F31A166-C58D-4E4A-9D51-43D312FA91FC}" name="GPA High and low" dataDxfId="7">
      <calculatedColumnFormula>IF(O2&gt;=2.5,"High","Low")</calculatedColumnFormula>
    </tableColumn>
    <tableColumn id="19" xr3:uid="{38AF92D8-2991-41BF-A157-0B1D8E8D031A}" name="Strong" dataDxfId="6">
      <calculatedColumnFormula>IF(AND(Q1="Yes",R1="High"),"Strong","Weak")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33C476-2265-4C6B-9CF1-E2FFE50694F2}" name="marks_tble" displayName="marks_tble" ref="A1:F201" tableType="queryTable" totalsRowShown="0">
  <autoFilter ref="A1:F201" xr:uid="{6C33C476-2265-4C6B-9CF1-E2FFE50694F2}"/>
  <sortState xmlns:xlrd2="http://schemas.microsoft.com/office/spreadsheetml/2017/richdata2" ref="A2:F201">
    <sortCondition ref="A1:A201"/>
  </sortState>
  <tableColumns count="6">
    <tableColumn id="1" xr3:uid="{5A145E43-C0FD-468E-8325-EDBC690B8926}" uniqueName="1" name="StudentID" queryTableFieldId="1"/>
    <tableColumn id="2" xr3:uid="{B15DD98C-2C03-4016-8672-261CA02EC27E}" uniqueName="2" name="Student name" queryTableFieldId="2" dataDxfId="5"/>
    <tableColumn id="3" xr3:uid="{D7AAA481-513D-4137-B17F-5E262018A086}" uniqueName="3" name="Exam name" queryTableFieldId="3" dataDxfId="4"/>
    <tableColumn id="4" xr3:uid="{B4A460A2-4B60-4C4A-8F56-A8030C77ECD6}" uniqueName="4" name="Exam date" queryTableFieldId="4" dataDxfId="3"/>
    <tableColumn id="5" xr3:uid="{DF9BBEDE-0A81-432E-9382-A4E3A6521D16}" uniqueName="5" name="Exam points" queryTableFieldId="5"/>
    <tableColumn id="6" xr3:uid="{E60E9843-2394-49BB-BD7B-66B5E299957B}" uniqueName="6" name="Strengths/weaknes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4B69-D386-4705-B381-C4BC04B430D4}">
  <dimension ref="A1:F39"/>
  <sheetViews>
    <sheetView workbookViewId="0"/>
  </sheetViews>
  <sheetFormatPr defaultRowHeight="14.5" x14ac:dyDescent="0.35"/>
  <cols>
    <col min="1" max="1" width="11.54296875" bestFit="1" customWidth="1"/>
    <col min="2" max="2" width="15.453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7</v>
      </c>
      <c r="D2" s="8">
        <v>42526</v>
      </c>
      <c r="E2">
        <v>31</v>
      </c>
      <c r="F2">
        <v>0</v>
      </c>
    </row>
    <row r="3" spans="1:6" x14ac:dyDescent="0.35">
      <c r="A3">
        <v>1002</v>
      </c>
      <c r="B3" t="s">
        <v>9</v>
      </c>
      <c r="C3" t="s">
        <v>7</v>
      </c>
      <c r="D3" s="8">
        <v>42526</v>
      </c>
      <c r="E3">
        <v>43</v>
      </c>
      <c r="F3">
        <v>0</v>
      </c>
    </row>
    <row r="4" spans="1:6" x14ac:dyDescent="0.35">
      <c r="A4">
        <v>1003</v>
      </c>
      <c r="B4" t="s">
        <v>10</v>
      </c>
      <c r="C4" t="s">
        <v>7</v>
      </c>
      <c r="D4" s="8">
        <v>42526</v>
      </c>
      <c r="E4">
        <v>81</v>
      </c>
      <c r="F4">
        <v>1</v>
      </c>
    </row>
    <row r="5" spans="1:6" x14ac:dyDescent="0.35">
      <c r="A5">
        <v>1004</v>
      </c>
      <c r="B5" t="s">
        <v>11</v>
      </c>
      <c r="C5" t="s">
        <v>7</v>
      </c>
      <c r="D5" s="8">
        <v>42526</v>
      </c>
      <c r="E5">
        <v>11</v>
      </c>
      <c r="F5">
        <v>0</v>
      </c>
    </row>
    <row r="6" spans="1:6" x14ac:dyDescent="0.35">
      <c r="A6">
        <v>1005</v>
      </c>
      <c r="B6" t="s">
        <v>12</v>
      </c>
      <c r="C6" t="s">
        <v>7</v>
      </c>
      <c r="D6" s="8">
        <v>42526</v>
      </c>
      <c r="E6">
        <v>18</v>
      </c>
      <c r="F6">
        <v>0</v>
      </c>
    </row>
    <row r="7" spans="1:6" x14ac:dyDescent="0.35">
      <c r="A7">
        <v>1006</v>
      </c>
      <c r="B7" t="s">
        <v>13</v>
      </c>
      <c r="C7" t="s">
        <v>7</v>
      </c>
      <c r="D7" s="8">
        <v>42526</v>
      </c>
      <c r="E7">
        <v>55</v>
      </c>
      <c r="F7">
        <v>0</v>
      </c>
    </row>
    <row r="8" spans="1:6" x14ac:dyDescent="0.35">
      <c r="A8">
        <v>1007</v>
      </c>
      <c r="B8" t="s">
        <v>14</v>
      </c>
      <c r="C8" t="s">
        <v>7</v>
      </c>
      <c r="D8" s="8">
        <v>42526</v>
      </c>
      <c r="E8">
        <v>38</v>
      </c>
      <c r="F8">
        <v>0</v>
      </c>
    </row>
    <row r="9" spans="1:6" x14ac:dyDescent="0.35">
      <c r="A9">
        <v>1008</v>
      </c>
      <c r="B9" t="s">
        <v>15</v>
      </c>
      <c r="C9" t="s">
        <v>7</v>
      </c>
      <c r="D9" s="8">
        <v>42526</v>
      </c>
      <c r="E9">
        <v>16</v>
      </c>
      <c r="F9">
        <v>0</v>
      </c>
    </row>
    <row r="10" spans="1:6" x14ac:dyDescent="0.35">
      <c r="A10">
        <v>1009</v>
      </c>
      <c r="B10" t="s">
        <v>16</v>
      </c>
      <c r="C10" t="s">
        <v>7</v>
      </c>
      <c r="D10" s="8">
        <v>42526</v>
      </c>
      <c r="E10">
        <v>73</v>
      </c>
      <c r="F10">
        <v>1</v>
      </c>
    </row>
    <row r="11" spans="1:6" x14ac:dyDescent="0.35">
      <c r="A11">
        <v>1010</v>
      </c>
      <c r="B11" t="s">
        <v>17</v>
      </c>
      <c r="C11" t="s">
        <v>7</v>
      </c>
      <c r="D11" s="8">
        <v>42526</v>
      </c>
      <c r="E11">
        <v>16</v>
      </c>
      <c r="F11">
        <v>0</v>
      </c>
    </row>
    <row r="12" spans="1:6" x14ac:dyDescent="0.35">
      <c r="A12">
        <v>1011</v>
      </c>
      <c r="B12" t="s">
        <v>18</v>
      </c>
      <c r="C12" t="s">
        <v>7</v>
      </c>
      <c r="D12" s="8">
        <v>42526</v>
      </c>
      <c r="E12">
        <v>23</v>
      </c>
      <c r="F12">
        <v>0</v>
      </c>
    </row>
    <row r="13" spans="1:6" x14ac:dyDescent="0.35">
      <c r="A13">
        <v>1012</v>
      </c>
      <c r="B13" t="s">
        <v>19</v>
      </c>
      <c r="C13" t="s">
        <v>7</v>
      </c>
      <c r="D13" s="8">
        <v>42526</v>
      </c>
      <c r="E13">
        <v>55</v>
      </c>
      <c r="F13">
        <v>0</v>
      </c>
    </row>
    <row r="14" spans="1:6" x14ac:dyDescent="0.35">
      <c r="A14">
        <v>1013</v>
      </c>
      <c r="B14" t="s">
        <v>20</v>
      </c>
      <c r="C14" t="s">
        <v>7</v>
      </c>
      <c r="D14" s="8">
        <v>42526</v>
      </c>
      <c r="E14">
        <v>71</v>
      </c>
      <c r="F14">
        <v>1</v>
      </c>
    </row>
    <row r="15" spans="1:6" x14ac:dyDescent="0.35">
      <c r="A15">
        <v>1014</v>
      </c>
      <c r="B15" t="s">
        <v>21</v>
      </c>
      <c r="C15" t="s">
        <v>7</v>
      </c>
      <c r="D15" s="8">
        <v>42526</v>
      </c>
      <c r="E15">
        <v>12</v>
      </c>
      <c r="F15">
        <v>0</v>
      </c>
    </row>
    <row r="16" spans="1:6" x14ac:dyDescent="0.35">
      <c r="A16">
        <v>1015</v>
      </c>
      <c r="B16" t="s">
        <v>22</v>
      </c>
      <c r="C16" t="s">
        <v>7</v>
      </c>
      <c r="D16" s="8">
        <v>42526</v>
      </c>
      <c r="E16">
        <v>77</v>
      </c>
      <c r="F16">
        <v>1</v>
      </c>
    </row>
    <row r="17" spans="1:6" x14ac:dyDescent="0.35">
      <c r="A17">
        <v>1016</v>
      </c>
      <c r="B17" t="s">
        <v>23</v>
      </c>
      <c r="C17" t="s">
        <v>7</v>
      </c>
      <c r="D17" s="8">
        <v>42526</v>
      </c>
      <c r="E17">
        <v>19</v>
      </c>
      <c r="F17">
        <v>0</v>
      </c>
    </row>
    <row r="18" spans="1:6" x14ac:dyDescent="0.35">
      <c r="A18">
        <v>1017</v>
      </c>
      <c r="B18" t="s">
        <v>24</v>
      </c>
      <c r="C18" t="s">
        <v>7</v>
      </c>
      <c r="D18" s="8">
        <v>42526</v>
      </c>
      <c r="E18">
        <v>57</v>
      </c>
      <c r="F18">
        <v>0</v>
      </c>
    </row>
    <row r="19" spans="1:6" x14ac:dyDescent="0.35">
      <c r="A19">
        <v>1018</v>
      </c>
      <c r="B19" t="s">
        <v>25</v>
      </c>
      <c r="C19" t="s">
        <v>7</v>
      </c>
      <c r="D19" s="8">
        <v>42526</v>
      </c>
      <c r="E19">
        <v>78</v>
      </c>
      <c r="F19">
        <v>1</v>
      </c>
    </row>
    <row r="20" spans="1:6" x14ac:dyDescent="0.35">
      <c r="A20">
        <v>1019</v>
      </c>
      <c r="B20" t="s">
        <v>26</v>
      </c>
      <c r="C20" t="s">
        <v>7</v>
      </c>
      <c r="D20" s="8">
        <v>42526</v>
      </c>
      <c r="E20">
        <v>92</v>
      </c>
      <c r="F20">
        <v>1</v>
      </c>
    </row>
    <row r="21" spans="1:6" x14ac:dyDescent="0.35">
      <c r="A21">
        <v>1020</v>
      </c>
      <c r="B21" t="s">
        <v>27</v>
      </c>
      <c r="C21" t="s">
        <v>7</v>
      </c>
      <c r="D21" s="8">
        <v>42526</v>
      </c>
      <c r="E21">
        <v>23</v>
      </c>
      <c r="F21">
        <v>0</v>
      </c>
    </row>
    <row r="22" spans="1:6" x14ac:dyDescent="0.35">
      <c r="A22">
        <v>1021</v>
      </c>
      <c r="B22" t="s">
        <v>28</v>
      </c>
      <c r="C22" t="s">
        <v>7</v>
      </c>
      <c r="D22" s="8">
        <v>42526</v>
      </c>
      <c r="E22">
        <v>62</v>
      </c>
      <c r="F22">
        <v>1</v>
      </c>
    </row>
    <row r="23" spans="1:6" x14ac:dyDescent="0.35">
      <c r="A23">
        <v>1022</v>
      </c>
      <c r="B23" t="s">
        <v>29</v>
      </c>
      <c r="C23" t="s">
        <v>7</v>
      </c>
      <c r="D23" s="8">
        <v>42526</v>
      </c>
      <c r="E23">
        <v>1</v>
      </c>
      <c r="F23">
        <v>0</v>
      </c>
    </row>
    <row r="24" spans="1:6" x14ac:dyDescent="0.35">
      <c r="A24">
        <v>1023</v>
      </c>
      <c r="B24" t="s">
        <v>30</v>
      </c>
      <c r="C24" t="s">
        <v>7</v>
      </c>
      <c r="D24" s="8">
        <v>42526</v>
      </c>
      <c r="E24">
        <v>100</v>
      </c>
      <c r="F24">
        <v>1</v>
      </c>
    </row>
    <row r="25" spans="1:6" x14ac:dyDescent="0.35">
      <c r="A25">
        <v>1024</v>
      </c>
      <c r="B25" t="s">
        <v>31</v>
      </c>
      <c r="C25" t="s">
        <v>7</v>
      </c>
      <c r="D25" s="8">
        <v>42526</v>
      </c>
      <c r="E25">
        <v>49</v>
      </c>
      <c r="F25">
        <v>0</v>
      </c>
    </row>
    <row r="26" spans="1:6" x14ac:dyDescent="0.35">
      <c r="A26">
        <v>1025</v>
      </c>
      <c r="B26" t="s">
        <v>32</v>
      </c>
      <c r="C26" t="s">
        <v>7</v>
      </c>
      <c r="D26" s="8">
        <v>42526</v>
      </c>
      <c r="E26">
        <v>41</v>
      </c>
      <c r="F26">
        <v>0</v>
      </c>
    </row>
    <row r="27" spans="1:6" x14ac:dyDescent="0.35">
      <c r="A27">
        <v>1026</v>
      </c>
      <c r="B27" t="s">
        <v>33</v>
      </c>
      <c r="C27" t="s">
        <v>7</v>
      </c>
      <c r="D27" s="8">
        <v>42526</v>
      </c>
      <c r="E27">
        <v>47</v>
      </c>
      <c r="F27">
        <v>0</v>
      </c>
    </row>
    <row r="28" spans="1:6" x14ac:dyDescent="0.35">
      <c r="A28">
        <v>1027</v>
      </c>
      <c r="B28" t="s">
        <v>34</v>
      </c>
      <c r="C28" t="s">
        <v>7</v>
      </c>
      <c r="D28" s="8">
        <v>42526</v>
      </c>
      <c r="E28">
        <v>24</v>
      </c>
      <c r="F28">
        <v>0</v>
      </c>
    </row>
    <row r="29" spans="1:6" x14ac:dyDescent="0.35">
      <c r="A29">
        <v>1028</v>
      </c>
      <c r="B29" t="s">
        <v>35</v>
      </c>
      <c r="C29" t="s">
        <v>7</v>
      </c>
      <c r="D29" s="8">
        <v>42526</v>
      </c>
      <c r="E29">
        <v>33</v>
      </c>
      <c r="F29">
        <v>0</v>
      </c>
    </row>
    <row r="30" spans="1:6" x14ac:dyDescent="0.35">
      <c r="A30">
        <v>1029</v>
      </c>
      <c r="B30" t="s">
        <v>36</v>
      </c>
      <c r="C30" t="s">
        <v>7</v>
      </c>
      <c r="D30" s="8">
        <v>42526</v>
      </c>
      <c r="E30">
        <v>45</v>
      </c>
      <c r="F30">
        <v>0</v>
      </c>
    </row>
    <row r="31" spans="1:6" x14ac:dyDescent="0.35">
      <c r="A31">
        <v>1030</v>
      </c>
      <c r="B31" t="s">
        <v>37</v>
      </c>
      <c r="C31" t="s">
        <v>7</v>
      </c>
      <c r="D31" s="8">
        <v>42526</v>
      </c>
      <c r="E31">
        <v>41</v>
      </c>
      <c r="F31">
        <v>0</v>
      </c>
    </row>
    <row r="32" spans="1:6" x14ac:dyDescent="0.35">
      <c r="A32">
        <v>1031</v>
      </c>
      <c r="B32" t="s">
        <v>38</v>
      </c>
      <c r="C32" t="s">
        <v>7</v>
      </c>
      <c r="D32" s="8">
        <v>42526</v>
      </c>
      <c r="E32">
        <v>78</v>
      </c>
      <c r="F32">
        <v>1</v>
      </c>
    </row>
    <row r="33" spans="1:6" x14ac:dyDescent="0.35">
      <c r="A33">
        <v>1032</v>
      </c>
      <c r="B33" t="s">
        <v>39</v>
      </c>
      <c r="C33" t="s">
        <v>7</v>
      </c>
      <c r="D33" s="8">
        <v>42526</v>
      </c>
      <c r="E33">
        <v>25</v>
      </c>
      <c r="F33">
        <v>0</v>
      </c>
    </row>
    <row r="34" spans="1:6" x14ac:dyDescent="0.35">
      <c r="A34">
        <v>1033</v>
      </c>
      <c r="B34" t="s">
        <v>40</v>
      </c>
      <c r="C34" t="s">
        <v>7</v>
      </c>
      <c r="D34" s="8">
        <v>42526</v>
      </c>
      <c r="E34">
        <v>44</v>
      </c>
      <c r="F34">
        <v>0</v>
      </c>
    </row>
    <row r="35" spans="1:6" x14ac:dyDescent="0.35">
      <c r="A35">
        <v>1034</v>
      </c>
      <c r="B35" t="s">
        <v>41</v>
      </c>
      <c r="C35" t="s">
        <v>7</v>
      </c>
      <c r="D35" s="8">
        <v>42526</v>
      </c>
      <c r="E35">
        <v>86</v>
      </c>
      <c r="F35">
        <v>1</v>
      </c>
    </row>
    <row r="36" spans="1:6" x14ac:dyDescent="0.35">
      <c r="A36">
        <v>1035</v>
      </c>
      <c r="B36" t="s">
        <v>42</v>
      </c>
      <c r="C36" t="s">
        <v>7</v>
      </c>
      <c r="D36" s="8">
        <v>42526</v>
      </c>
      <c r="E36">
        <v>97</v>
      </c>
      <c r="F36">
        <v>1</v>
      </c>
    </row>
    <row r="37" spans="1:6" x14ac:dyDescent="0.35">
      <c r="A37">
        <v>1036</v>
      </c>
      <c r="B37" t="s">
        <v>43</v>
      </c>
      <c r="C37" t="s">
        <v>7</v>
      </c>
      <c r="D37" s="8">
        <v>42526</v>
      </c>
      <c r="E37">
        <v>35</v>
      </c>
      <c r="F37">
        <v>0</v>
      </c>
    </row>
    <row r="38" spans="1:6" x14ac:dyDescent="0.35">
      <c r="A38">
        <v>1037</v>
      </c>
      <c r="B38" t="s">
        <v>44</v>
      </c>
      <c r="C38" t="s">
        <v>7</v>
      </c>
      <c r="D38" s="8">
        <v>42526</v>
      </c>
      <c r="E38">
        <v>75</v>
      </c>
      <c r="F38">
        <v>1</v>
      </c>
    </row>
    <row r="39" spans="1:6" x14ac:dyDescent="0.35">
      <c r="A39">
        <v>1038</v>
      </c>
      <c r="B39" t="s">
        <v>45</v>
      </c>
      <c r="C39" t="s">
        <v>7</v>
      </c>
      <c r="D39" s="8">
        <v>42526</v>
      </c>
      <c r="E39">
        <v>48</v>
      </c>
      <c r="F3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4BC-DB21-45D0-B0D6-D3202CDB2BA8}">
  <dimension ref="A1:F39"/>
  <sheetViews>
    <sheetView workbookViewId="0">
      <selection activeCell="B5" sqref="B5"/>
    </sheetView>
  </sheetViews>
  <sheetFormatPr defaultRowHeight="14.5" x14ac:dyDescent="0.35"/>
  <cols>
    <col min="1" max="1" width="11.26953125" customWidth="1"/>
    <col min="2" max="2" width="15.7265625" customWidth="1"/>
    <col min="3" max="3" width="12.54296875" customWidth="1"/>
    <col min="4" max="4" width="11.6328125" customWidth="1"/>
    <col min="5" max="5" width="13.08984375" customWidth="1"/>
    <col min="6" max="6" width="19.81640625" customWidth="1"/>
  </cols>
  <sheetData>
    <row r="1" spans="1:6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35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35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35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35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35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35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35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35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35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35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35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35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35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35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35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35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35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35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35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35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35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35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35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35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35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35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35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35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35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35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35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35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35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35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35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35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35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A290-9B8C-426B-9366-9CACFADB0675}">
  <dimension ref="A1:F28"/>
  <sheetViews>
    <sheetView workbookViewId="0"/>
  </sheetViews>
  <sheetFormatPr defaultRowHeight="14.5" x14ac:dyDescent="0.35"/>
  <cols>
    <col min="1" max="1" width="11.54296875" bestFit="1" customWidth="1"/>
    <col min="2" max="2" width="15.36328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46</v>
      </c>
      <c r="D2" s="8">
        <v>42536</v>
      </c>
      <c r="E2">
        <v>52</v>
      </c>
      <c r="F2">
        <v>0</v>
      </c>
    </row>
    <row r="3" spans="1:6" x14ac:dyDescent="0.35">
      <c r="A3">
        <v>1002</v>
      </c>
      <c r="B3" t="s">
        <v>9</v>
      </c>
      <c r="C3" t="s">
        <v>46</v>
      </c>
      <c r="D3" s="8">
        <v>42536</v>
      </c>
      <c r="E3">
        <v>20</v>
      </c>
      <c r="F3">
        <v>0</v>
      </c>
    </row>
    <row r="4" spans="1:6" x14ac:dyDescent="0.35">
      <c r="A4">
        <v>1003</v>
      </c>
      <c r="B4" t="s">
        <v>10</v>
      </c>
      <c r="C4" t="s">
        <v>46</v>
      </c>
      <c r="D4" s="8">
        <v>42536</v>
      </c>
      <c r="E4">
        <v>32</v>
      </c>
      <c r="F4">
        <v>0</v>
      </c>
    </row>
    <row r="5" spans="1:6" x14ac:dyDescent="0.35">
      <c r="A5">
        <v>1004</v>
      </c>
      <c r="B5" t="s">
        <v>11</v>
      </c>
      <c r="C5" t="s">
        <v>46</v>
      </c>
      <c r="D5" s="8">
        <v>42536</v>
      </c>
      <c r="E5">
        <v>19</v>
      </c>
      <c r="F5">
        <v>0</v>
      </c>
    </row>
    <row r="6" spans="1:6" x14ac:dyDescent="0.35">
      <c r="A6">
        <v>1005</v>
      </c>
      <c r="B6" t="s">
        <v>12</v>
      </c>
      <c r="C6" t="s">
        <v>46</v>
      </c>
      <c r="D6" s="8">
        <v>42536</v>
      </c>
      <c r="E6">
        <v>61</v>
      </c>
      <c r="F6">
        <v>1</v>
      </c>
    </row>
    <row r="7" spans="1:6" x14ac:dyDescent="0.35">
      <c r="A7">
        <v>1006</v>
      </c>
      <c r="B7" t="s">
        <v>13</v>
      </c>
      <c r="C7" t="s">
        <v>46</v>
      </c>
      <c r="D7" s="8">
        <v>42536</v>
      </c>
      <c r="E7">
        <v>34</v>
      </c>
      <c r="F7">
        <v>0</v>
      </c>
    </row>
    <row r="8" spans="1:6" x14ac:dyDescent="0.35">
      <c r="A8">
        <v>1007</v>
      </c>
      <c r="B8" t="s">
        <v>14</v>
      </c>
      <c r="C8" t="s">
        <v>46</v>
      </c>
      <c r="D8" s="8">
        <v>42536</v>
      </c>
      <c r="E8">
        <v>9</v>
      </c>
      <c r="F8">
        <v>0</v>
      </c>
    </row>
    <row r="9" spans="1:6" x14ac:dyDescent="0.35">
      <c r="A9">
        <v>1008</v>
      </c>
      <c r="B9" t="s">
        <v>15</v>
      </c>
      <c r="C9" t="s">
        <v>46</v>
      </c>
      <c r="D9" s="8">
        <v>42536</v>
      </c>
      <c r="E9">
        <v>22</v>
      </c>
      <c r="F9">
        <v>0</v>
      </c>
    </row>
    <row r="10" spans="1:6" x14ac:dyDescent="0.35">
      <c r="A10">
        <v>1009</v>
      </c>
      <c r="B10" t="s">
        <v>16</v>
      </c>
      <c r="C10" t="s">
        <v>46</v>
      </c>
      <c r="D10" s="8">
        <v>42536</v>
      </c>
      <c r="E10">
        <v>46</v>
      </c>
      <c r="F10">
        <v>0</v>
      </c>
    </row>
    <row r="11" spans="1:6" x14ac:dyDescent="0.35">
      <c r="A11">
        <v>1010</v>
      </c>
      <c r="B11" t="s">
        <v>17</v>
      </c>
      <c r="C11" t="s">
        <v>46</v>
      </c>
      <c r="D11" s="8">
        <v>42536</v>
      </c>
      <c r="E11">
        <v>100</v>
      </c>
      <c r="F11">
        <v>1</v>
      </c>
    </row>
    <row r="12" spans="1:6" x14ac:dyDescent="0.35">
      <c r="A12">
        <v>1011</v>
      </c>
      <c r="B12" t="s">
        <v>18</v>
      </c>
      <c r="C12" t="s">
        <v>46</v>
      </c>
      <c r="D12" s="8">
        <v>42536</v>
      </c>
      <c r="E12">
        <v>92</v>
      </c>
      <c r="F12">
        <v>1</v>
      </c>
    </row>
    <row r="13" spans="1:6" x14ac:dyDescent="0.35">
      <c r="A13">
        <v>1012</v>
      </c>
      <c r="B13" t="s">
        <v>19</v>
      </c>
      <c r="C13" t="s">
        <v>46</v>
      </c>
      <c r="D13" s="8">
        <v>42536</v>
      </c>
      <c r="E13">
        <v>1</v>
      </c>
      <c r="F13">
        <v>0</v>
      </c>
    </row>
    <row r="14" spans="1:6" x14ac:dyDescent="0.35">
      <c r="A14">
        <v>1013</v>
      </c>
      <c r="B14" t="s">
        <v>20</v>
      </c>
      <c r="C14" t="s">
        <v>46</v>
      </c>
      <c r="D14" s="8">
        <v>42536</v>
      </c>
      <c r="E14">
        <v>84</v>
      </c>
      <c r="F14">
        <v>1</v>
      </c>
    </row>
    <row r="15" spans="1:6" x14ac:dyDescent="0.35">
      <c r="A15">
        <v>1014</v>
      </c>
      <c r="B15" t="s">
        <v>21</v>
      </c>
      <c r="C15" t="s">
        <v>46</v>
      </c>
      <c r="D15" s="8">
        <v>42536</v>
      </c>
      <c r="E15">
        <v>63</v>
      </c>
      <c r="F15">
        <v>1</v>
      </c>
    </row>
    <row r="16" spans="1:6" x14ac:dyDescent="0.35">
      <c r="A16">
        <v>1015</v>
      </c>
      <c r="B16" t="s">
        <v>22</v>
      </c>
      <c r="C16" t="s">
        <v>46</v>
      </c>
      <c r="D16" s="8">
        <v>42536</v>
      </c>
      <c r="E16">
        <v>59</v>
      </c>
      <c r="F16">
        <v>0</v>
      </c>
    </row>
    <row r="17" spans="1:6" x14ac:dyDescent="0.35">
      <c r="A17">
        <v>1016</v>
      </c>
      <c r="B17" t="s">
        <v>23</v>
      </c>
      <c r="C17" t="s">
        <v>46</v>
      </c>
      <c r="D17" s="8">
        <v>42536</v>
      </c>
      <c r="E17">
        <v>61</v>
      </c>
      <c r="F17">
        <v>1</v>
      </c>
    </row>
    <row r="18" spans="1:6" x14ac:dyDescent="0.35">
      <c r="A18">
        <v>1017</v>
      </c>
      <c r="B18" t="s">
        <v>24</v>
      </c>
      <c r="C18" t="s">
        <v>46</v>
      </c>
      <c r="D18" s="8">
        <v>42536</v>
      </c>
      <c r="E18">
        <v>47</v>
      </c>
      <c r="F18">
        <v>0</v>
      </c>
    </row>
    <row r="19" spans="1:6" x14ac:dyDescent="0.35">
      <c r="A19">
        <v>1018</v>
      </c>
      <c r="B19" t="s">
        <v>25</v>
      </c>
      <c r="C19" t="s">
        <v>46</v>
      </c>
      <c r="D19" s="8">
        <v>42536</v>
      </c>
      <c r="E19">
        <v>27</v>
      </c>
      <c r="F19">
        <v>0</v>
      </c>
    </row>
    <row r="20" spans="1:6" x14ac:dyDescent="0.35">
      <c r="A20">
        <v>1019</v>
      </c>
      <c r="B20" t="s">
        <v>26</v>
      </c>
      <c r="C20" t="s">
        <v>46</v>
      </c>
      <c r="D20" s="8">
        <v>42536</v>
      </c>
      <c r="E20">
        <v>99</v>
      </c>
      <c r="F20">
        <v>1</v>
      </c>
    </row>
    <row r="21" spans="1:6" x14ac:dyDescent="0.35">
      <c r="A21">
        <v>1020</v>
      </c>
      <c r="B21" t="s">
        <v>27</v>
      </c>
      <c r="C21" t="s">
        <v>46</v>
      </c>
      <c r="D21" s="8">
        <v>42536</v>
      </c>
      <c r="E21">
        <v>84</v>
      </c>
      <c r="F21">
        <v>1</v>
      </c>
    </row>
    <row r="22" spans="1:6" x14ac:dyDescent="0.35">
      <c r="A22">
        <v>1021</v>
      </c>
      <c r="B22" t="s">
        <v>28</v>
      </c>
      <c r="C22" t="s">
        <v>46</v>
      </c>
      <c r="D22" s="8">
        <v>42536</v>
      </c>
      <c r="E22">
        <v>95</v>
      </c>
      <c r="F22">
        <v>1</v>
      </c>
    </row>
    <row r="23" spans="1:6" x14ac:dyDescent="0.35">
      <c r="A23">
        <v>1022</v>
      </c>
      <c r="B23" t="s">
        <v>29</v>
      </c>
      <c r="C23" t="s">
        <v>46</v>
      </c>
      <c r="D23" s="8">
        <v>42536</v>
      </c>
      <c r="E23">
        <v>50</v>
      </c>
      <c r="F23">
        <v>0</v>
      </c>
    </row>
    <row r="24" spans="1:6" x14ac:dyDescent="0.35">
      <c r="A24">
        <v>1023</v>
      </c>
      <c r="B24" t="s">
        <v>30</v>
      </c>
      <c r="C24" t="s">
        <v>46</v>
      </c>
      <c r="D24" s="8">
        <v>42536</v>
      </c>
      <c r="E24">
        <v>27</v>
      </c>
      <c r="F24">
        <v>0</v>
      </c>
    </row>
    <row r="25" spans="1:6" x14ac:dyDescent="0.35">
      <c r="A25">
        <v>1024</v>
      </c>
      <c r="B25" t="s">
        <v>31</v>
      </c>
      <c r="C25" t="s">
        <v>46</v>
      </c>
      <c r="D25" s="8">
        <v>42536</v>
      </c>
      <c r="E25">
        <v>39</v>
      </c>
      <c r="F25">
        <v>0</v>
      </c>
    </row>
    <row r="26" spans="1:6" x14ac:dyDescent="0.35">
      <c r="A26">
        <v>1025</v>
      </c>
      <c r="B26" t="s">
        <v>32</v>
      </c>
      <c r="C26" t="s">
        <v>46</v>
      </c>
      <c r="D26" s="8">
        <v>42536</v>
      </c>
      <c r="E26">
        <v>71</v>
      </c>
      <c r="F26">
        <v>1</v>
      </c>
    </row>
    <row r="27" spans="1:6" x14ac:dyDescent="0.35">
      <c r="A27">
        <v>1026</v>
      </c>
      <c r="B27" t="s">
        <v>33</v>
      </c>
      <c r="C27" t="s">
        <v>46</v>
      </c>
      <c r="D27" s="8">
        <v>42536</v>
      </c>
      <c r="E27">
        <v>83</v>
      </c>
      <c r="F27">
        <v>1</v>
      </c>
    </row>
    <row r="28" spans="1:6" x14ac:dyDescent="0.35">
      <c r="A28">
        <v>1027</v>
      </c>
      <c r="B28" t="s">
        <v>34</v>
      </c>
      <c r="C28" t="s">
        <v>46</v>
      </c>
      <c r="D28" s="8">
        <v>42536</v>
      </c>
      <c r="E28">
        <v>38</v>
      </c>
      <c r="F2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C5E-7E4E-4202-843B-3372A88CC9B4}">
  <dimension ref="A1:F28"/>
  <sheetViews>
    <sheetView workbookViewId="0">
      <selection activeCell="B5" sqref="B5"/>
    </sheetView>
  </sheetViews>
  <sheetFormatPr defaultRowHeight="14.5" x14ac:dyDescent="0.35"/>
  <cols>
    <col min="1" max="1" width="11.26953125" customWidth="1"/>
    <col min="2" max="2" width="17.81640625" customWidth="1"/>
    <col min="3" max="3" width="12.54296875" customWidth="1"/>
    <col min="4" max="4" width="11.6328125" customWidth="1"/>
    <col min="5" max="5" width="13.08984375" customWidth="1"/>
    <col min="6" max="6" width="19.81640625" customWidth="1"/>
  </cols>
  <sheetData>
    <row r="1" spans="1:6" x14ac:dyDescent="0.35">
      <c r="A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2" t="s">
        <v>5</v>
      </c>
    </row>
    <row r="2" spans="1:6" x14ac:dyDescent="0.35">
      <c r="A2" s="3">
        <v>1001</v>
      </c>
      <c r="B2" t="s">
        <v>6</v>
      </c>
      <c r="C2" t="s">
        <v>46</v>
      </c>
      <c r="D2" s="8" t="s">
        <v>47</v>
      </c>
      <c r="E2" s="3">
        <v>52</v>
      </c>
      <c r="F2" s="3">
        <f>IF(E2&gt;=60,1,0)</f>
        <v>0</v>
      </c>
    </row>
    <row r="3" spans="1:6" x14ac:dyDescent="0.35">
      <c r="A3" s="3">
        <v>1002</v>
      </c>
      <c r="B3" t="s">
        <v>9</v>
      </c>
      <c r="C3" t="s">
        <v>46</v>
      </c>
      <c r="D3" s="8" t="s">
        <v>47</v>
      </c>
      <c r="E3" s="3">
        <v>20</v>
      </c>
      <c r="F3" s="3">
        <f t="shared" ref="F3:F28" si="0">IF(E3&gt;=60,1,0)</f>
        <v>0</v>
      </c>
    </row>
    <row r="4" spans="1:6" x14ac:dyDescent="0.35">
      <c r="A4" s="3">
        <v>1003</v>
      </c>
      <c r="B4" t="s">
        <v>10</v>
      </c>
      <c r="C4" t="s">
        <v>46</v>
      </c>
      <c r="D4" s="8" t="s">
        <v>47</v>
      </c>
      <c r="E4" s="3">
        <v>32</v>
      </c>
      <c r="F4" s="3">
        <f t="shared" si="0"/>
        <v>0</v>
      </c>
    </row>
    <row r="5" spans="1:6" x14ac:dyDescent="0.35">
      <c r="A5" s="3">
        <v>1004</v>
      </c>
      <c r="B5" t="s">
        <v>11</v>
      </c>
      <c r="C5" t="s">
        <v>46</v>
      </c>
      <c r="D5" s="8" t="s">
        <v>47</v>
      </c>
      <c r="E5" s="3">
        <v>19</v>
      </c>
      <c r="F5" s="3">
        <f t="shared" si="0"/>
        <v>0</v>
      </c>
    </row>
    <row r="6" spans="1:6" x14ac:dyDescent="0.35">
      <c r="A6" s="3">
        <v>1005</v>
      </c>
      <c r="B6" t="s">
        <v>12</v>
      </c>
      <c r="C6" t="s">
        <v>46</v>
      </c>
      <c r="D6" s="8" t="s">
        <v>47</v>
      </c>
      <c r="E6" s="3">
        <v>61</v>
      </c>
      <c r="F6" s="3">
        <f t="shared" si="0"/>
        <v>1</v>
      </c>
    </row>
    <row r="7" spans="1:6" x14ac:dyDescent="0.35">
      <c r="A7" s="3">
        <v>1006</v>
      </c>
      <c r="B7" t="s">
        <v>13</v>
      </c>
      <c r="C7" t="s">
        <v>46</v>
      </c>
      <c r="D7" s="8" t="s">
        <v>47</v>
      </c>
      <c r="E7" s="3">
        <v>34</v>
      </c>
      <c r="F7" s="3">
        <f t="shared" si="0"/>
        <v>0</v>
      </c>
    </row>
    <row r="8" spans="1:6" x14ac:dyDescent="0.35">
      <c r="A8" s="3">
        <v>1007</v>
      </c>
      <c r="B8" t="s">
        <v>14</v>
      </c>
      <c r="C8" t="s">
        <v>46</v>
      </c>
      <c r="D8" s="8" t="s">
        <v>47</v>
      </c>
      <c r="E8" s="3">
        <v>9</v>
      </c>
      <c r="F8" s="3">
        <f t="shared" si="0"/>
        <v>0</v>
      </c>
    </row>
    <row r="9" spans="1:6" x14ac:dyDescent="0.35">
      <c r="A9" s="3">
        <v>1008</v>
      </c>
      <c r="B9" t="s">
        <v>15</v>
      </c>
      <c r="C9" t="s">
        <v>46</v>
      </c>
      <c r="D9" s="8" t="s">
        <v>47</v>
      </c>
      <c r="E9" s="3">
        <v>22</v>
      </c>
      <c r="F9" s="3">
        <f t="shared" si="0"/>
        <v>0</v>
      </c>
    </row>
    <row r="10" spans="1:6" x14ac:dyDescent="0.35">
      <c r="A10" s="3">
        <v>1009</v>
      </c>
      <c r="B10" t="s">
        <v>16</v>
      </c>
      <c r="C10" t="s">
        <v>46</v>
      </c>
      <c r="D10" s="8" t="s">
        <v>47</v>
      </c>
      <c r="E10" s="3">
        <v>46</v>
      </c>
      <c r="F10" s="3">
        <f t="shared" si="0"/>
        <v>0</v>
      </c>
    </row>
    <row r="11" spans="1:6" x14ac:dyDescent="0.35">
      <c r="A11" s="3">
        <v>1010</v>
      </c>
      <c r="B11" t="s">
        <v>17</v>
      </c>
      <c r="C11" t="s">
        <v>46</v>
      </c>
      <c r="D11" s="8" t="s">
        <v>47</v>
      </c>
      <c r="E11" s="3">
        <v>100</v>
      </c>
      <c r="F11" s="3">
        <f t="shared" si="0"/>
        <v>1</v>
      </c>
    </row>
    <row r="12" spans="1:6" x14ac:dyDescent="0.35">
      <c r="A12" s="3">
        <v>1011</v>
      </c>
      <c r="B12" t="s">
        <v>18</v>
      </c>
      <c r="C12" t="s">
        <v>46</v>
      </c>
      <c r="D12" s="8" t="s">
        <v>47</v>
      </c>
      <c r="E12" s="3">
        <v>92</v>
      </c>
      <c r="F12" s="3">
        <f t="shared" si="0"/>
        <v>1</v>
      </c>
    </row>
    <row r="13" spans="1:6" x14ac:dyDescent="0.35">
      <c r="A13" s="3">
        <v>1012</v>
      </c>
      <c r="B13" t="s">
        <v>19</v>
      </c>
      <c r="C13" t="s">
        <v>46</v>
      </c>
      <c r="D13" s="8" t="s">
        <v>47</v>
      </c>
      <c r="E13" s="3">
        <v>1</v>
      </c>
      <c r="F13" s="3">
        <f t="shared" si="0"/>
        <v>0</v>
      </c>
    </row>
    <row r="14" spans="1:6" x14ac:dyDescent="0.35">
      <c r="A14" s="3">
        <v>1013</v>
      </c>
      <c r="B14" t="s">
        <v>20</v>
      </c>
      <c r="C14" t="s">
        <v>46</v>
      </c>
      <c r="D14" s="8" t="s">
        <v>47</v>
      </c>
      <c r="E14" s="3">
        <v>84</v>
      </c>
      <c r="F14" s="3">
        <f t="shared" si="0"/>
        <v>1</v>
      </c>
    </row>
    <row r="15" spans="1:6" x14ac:dyDescent="0.35">
      <c r="A15" s="3">
        <v>1014</v>
      </c>
      <c r="B15" t="s">
        <v>21</v>
      </c>
      <c r="C15" t="s">
        <v>46</v>
      </c>
      <c r="D15" s="8" t="s">
        <v>47</v>
      </c>
      <c r="E15" s="3">
        <v>63</v>
      </c>
      <c r="F15" s="3">
        <f t="shared" si="0"/>
        <v>1</v>
      </c>
    </row>
    <row r="16" spans="1:6" x14ac:dyDescent="0.35">
      <c r="A16" s="3">
        <v>1015</v>
      </c>
      <c r="B16" t="s">
        <v>22</v>
      </c>
      <c r="C16" t="s">
        <v>46</v>
      </c>
      <c r="D16" s="8" t="s">
        <v>47</v>
      </c>
      <c r="E16" s="3">
        <v>59</v>
      </c>
      <c r="F16" s="3">
        <f t="shared" si="0"/>
        <v>0</v>
      </c>
    </row>
    <row r="17" spans="1:6" x14ac:dyDescent="0.35">
      <c r="A17" s="3">
        <v>1016</v>
      </c>
      <c r="B17" t="s">
        <v>23</v>
      </c>
      <c r="C17" t="s">
        <v>46</v>
      </c>
      <c r="D17" s="8" t="s">
        <v>47</v>
      </c>
      <c r="E17" s="3">
        <v>61</v>
      </c>
      <c r="F17" s="3">
        <f t="shared" si="0"/>
        <v>1</v>
      </c>
    </row>
    <row r="18" spans="1:6" x14ac:dyDescent="0.35">
      <c r="A18" s="3">
        <v>1017</v>
      </c>
      <c r="B18" t="s">
        <v>24</v>
      </c>
      <c r="C18" t="s">
        <v>46</v>
      </c>
      <c r="D18" s="8" t="s">
        <v>47</v>
      </c>
      <c r="E18" s="3">
        <v>47</v>
      </c>
      <c r="F18" s="3">
        <f t="shared" si="0"/>
        <v>0</v>
      </c>
    </row>
    <row r="19" spans="1:6" x14ac:dyDescent="0.35">
      <c r="A19" s="3">
        <v>1018</v>
      </c>
      <c r="B19" t="s">
        <v>25</v>
      </c>
      <c r="C19" t="s">
        <v>46</v>
      </c>
      <c r="D19" s="8" t="s">
        <v>47</v>
      </c>
      <c r="E19" s="3">
        <v>27</v>
      </c>
      <c r="F19" s="3">
        <f t="shared" si="0"/>
        <v>0</v>
      </c>
    </row>
    <row r="20" spans="1:6" x14ac:dyDescent="0.35">
      <c r="A20" s="3">
        <v>1019</v>
      </c>
      <c r="B20" t="s">
        <v>26</v>
      </c>
      <c r="C20" t="s">
        <v>46</v>
      </c>
      <c r="D20" s="8" t="s">
        <v>47</v>
      </c>
      <c r="E20" s="3">
        <v>99</v>
      </c>
      <c r="F20" s="3">
        <f t="shared" si="0"/>
        <v>1</v>
      </c>
    </row>
    <row r="21" spans="1:6" x14ac:dyDescent="0.35">
      <c r="A21" s="3">
        <v>1020</v>
      </c>
      <c r="B21" t="s">
        <v>27</v>
      </c>
      <c r="C21" t="s">
        <v>46</v>
      </c>
      <c r="D21" s="8" t="s">
        <v>47</v>
      </c>
      <c r="E21" s="3">
        <v>84</v>
      </c>
      <c r="F21" s="3">
        <f t="shared" si="0"/>
        <v>1</v>
      </c>
    </row>
    <row r="22" spans="1:6" x14ac:dyDescent="0.35">
      <c r="A22" s="3">
        <v>1021</v>
      </c>
      <c r="B22" t="s">
        <v>28</v>
      </c>
      <c r="C22" t="s">
        <v>46</v>
      </c>
      <c r="D22" s="8" t="s">
        <v>47</v>
      </c>
      <c r="E22" s="3">
        <v>95</v>
      </c>
      <c r="F22" s="3">
        <f t="shared" si="0"/>
        <v>1</v>
      </c>
    </row>
    <row r="23" spans="1:6" x14ac:dyDescent="0.35">
      <c r="A23" s="3">
        <v>1022</v>
      </c>
      <c r="B23" t="s">
        <v>29</v>
      </c>
      <c r="C23" t="s">
        <v>46</v>
      </c>
      <c r="D23" s="8" t="s">
        <v>47</v>
      </c>
      <c r="E23" s="3">
        <v>50</v>
      </c>
      <c r="F23" s="3">
        <f t="shared" si="0"/>
        <v>0</v>
      </c>
    </row>
    <row r="24" spans="1:6" x14ac:dyDescent="0.35">
      <c r="A24" s="3">
        <v>1023</v>
      </c>
      <c r="B24" t="s">
        <v>30</v>
      </c>
      <c r="C24" t="s">
        <v>46</v>
      </c>
      <c r="D24" s="8" t="s">
        <v>47</v>
      </c>
      <c r="E24" s="3">
        <v>27</v>
      </c>
      <c r="F24" s="3">
        <f t="shared" si="0"/>
        <v>0</v>
      </c>
    </row>
    <row r="25" spans="1:6" x14ac:dyDescent="0.35">
      <c r="A25" s="3">
        <v>1024</v>
      </c>
      <c r="B25" t="s">
        <v>31</v>
      </c>
      <c r="C25" t="s">
        <v>46</v>
      </c>
      <c r="D25" s="8" t="s">
        <v>47</v>
      </c>
      <c r="E25" s="3">
        <v>39</v>
      </c>
      <c r="F25" s="3">
        <f t="shared" si="0"/>
        <v>0</v>
      </c>
    </row>
    <row r="26" spans="1:6" x14ac:dyDescent="0.35">
      <c r="A26" s="3">
        <v>1025</v>
      </c>
      <c r="B26" t="s">
        <v>32</v>
      </c>
      <c r="C26" t="s">
        <v>46</v>
      </c>
      <c r="D26" s="8" t="s">
        <v>47</v>
      </c>
      <c r="E26" s="3">
        <v>71</v>
      </c>
      <c r="F26" s="3">
        <f t="shared" si="0"/>
        <v>1</v>
      </c>
    </row>
    <row r="27" spans="1:6" x14ac:dyDescent="0.35">
      <c r="A27" s="3">
        <v>1026</v>
      </c>
      <c r="B27" t="s">
        <v>33</v>
      </c>
      <c r="C27" t="s">
        <v>46</v>
      </c>
      <c r="D27" s="8" t="s">
        <v>47</v>
      </c>
      <c r="E27" s="3">
        <v>83</v>
      </c>
      <c r="F27" s="3">
        <f t="shared" si="0"/>
        <v>1</v>
      </c>
    </row>
    <row r="28" spans="1:6" x14ac:dyDescent="0.35">
      <c r="A28" s="3">
        <v>1027</v>
      </c>
      <c r="B28" t="s">
        <v>34</v>
      </c>
      <c r="C28" t="s">
        <v>46</v>
      </c>
      <c r="D28" s="8" t="s">
        <v>47</v>
      </c>
      <c r="E28" s="3">
        <v>38</v>
      </c>
      <c r="F28" s="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139D-57F3-41B6-89A2-D827978CCCDB}">
  <dimension ref="A1:F38"/>
  <sheetViews>
    <sheetView workbookViewId="0"/>
  </sheetViews>
  <sheetFormatPr defaultRowHeight="14.5" x14ac:dyDescent="0.35"/>
  <cols>
    <col min="1" max="1" width="11.54296875" bestFit="1" customWidth="1"/>
    <col min="2" max="2" width="15.453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48</v>
      </c>
      <c r="D2" s="8">
        <v>42580</v>
      </c>
      <c r="E2">
        <v>48</v>
      </c>
      <c r="F2">
        <v>0</v>
      </c>
    </row>
    <row r="3" spans="1:6" x14ac:dyDescent="0.35">
      <c r="A3">
        <v>1002</v>
      </c>
      <c r="B3" t="s">
        <v>9</v>
      </c>
      <c r="C3" t="s">
        <v>48</v>
      </c>
      <c r="D3" s="8">
        <v>42580</v>
      </c>
      <c r="E3">
        <v>5</v>
      </c>
      <c r="F3">
        <v>0</v>
      </c>
    </row>
    <row r="4" spans="1:6" x14ac:dyDescent="0.35">
      <c r="A4">
        <v>1003</v>
      </c>
      <c r="B4" t="s">
        <v>10</v>
      </c>
      <c r="C4" t="s">
        <v>48</v>
      </c>
      <c r="D4" s="8">
        <v>42580</v>
      </c>
      <c r="E4">
        <v>7</v>
      </c>
      <c r="F4">
        <v>0</v>
      </c>
    </row>
    <row r="5" spans="1:6" x14ac:dyDescent="0.35">
      <c r="A5">
        <v>1004</v>
      </c>
      <c r="B5" t="s">
        <v>11</v>
      </c>
      <c r="C5" t="s">
        <v>48</v>
      </c>
      <c r="D5" s="8">
        <v>42580</v>
      </c>
      <c r="E5">
        <v>70</v>
      </c>
      <c r="F5">
        <v>1</v>
      </c>
    </row>
    <row r="6" spans="1:6" x14ac:dyDescent="0.35">
      <c r="A6">
        <v>1005</v>
      </c>
      <c r="B6" t="s">
        <v>12</v>
      </c>
      <c r="C6" t="s">
        <v>48</v>
      </c>
      <c r="D6" s="8">
        <v>42580</v>
      </c>
      <c r="E6">
        <v>73</v>
      </c>
      <c r="F6">
        <v>1</v>
      </c>
    </row>
    <row r="7" spans="1:6" x14ac:dyDescent="0.35">
      <c r="A7">
        <v>1006</v>
      </c>
      <c r="B7" t="s">
        <v>13</v>
      </c>
      <c r="C7" t="s">
        <v>48</v>
      </c>
      <c r="D7" s="8">
        <v>42580</v>
      </c>
      <c r="E7">
        <v>59</v>
      </c>
      <c r="F7">
        <v>0</v>
      </c>
    </row>
    <row r="8" spans="1:6" x14ac:dyDescent="0.35">
      <c r="A8">
        <v>1007</v>
      </c>
      <c r="B8" t="s">
        <v>14</v>
      </c>
      <c r="C8" t="s">
        <v>48</v>
      </c>
      <c r="D8" s="8">
        <v>42580</v>
      </c>
      <c r="E8">
        <v>23</v>
      </c>
      <c r="F8">
        <v>0</v>
      </c>
    </row>
    <row r="9" spans="1:6" x14ac:dyDescent="0.35">
      <c r="A9">
        <v>1008</v>
      </c>
      <c r="B9" t="s">
        <v>15</v>
      </c>
      <c r="C9" t="s">
        <v>48</v>
      </c>
      <c r="D9" s="8">
        <v>42580</v>
      </c>
      <c r="E9">
        <v>72</v>
      </c>
      <c r="F9">
        <v>1</v>
      </c>
    </row>
    <row r="10" spans="1:6" x14ac:dyDescent="0.35">
      <c r="A10">
        <v>1009</v>
      </c>
      <c r="B10" t="s">
        <v>16</v>
      </c>
      <c r="C10" t="s">
        <v>48</v>
      </c>
      <c r="D10" s="8">
        <v>42580</v>
      </c>
      <c r="E10">
        <v>31</v>
      </c>
      <c r="F10">
        <v>0</v>
      </c>
    </row>
    <row r="11" spans="1:6" x14ac:dyDescent="0.35">
      <c r="A11">
        <v>1010</v>
      </c>
      <c r="B11" t="s">
        <v>17</v>
      </c>
      <c r="C11" t="s">
        <v>48</v>
      </c>
      <c r="D11" s="8">
        <v>42580</v>
      </c>
      <c r="E11">
        <v>74</v>
      </c>
      <c r="F11">
        <v>1</v>
      </c>
    </row>
    <row r="12" spans="1:6" x14ac:dyDescent="0.35">
      <c r="A12">
        <v>1011</v>
      </c>
      <c r="B12" t="s">
        <v>18</v>
      </c>
      <c r="C12" t="s">
        <v>48</v>
      </c>
      <c r="D12" s="8">
        <v>42580</v>
      </c>
      <c r="E12">
        <v>91</v>
      </c>
      <c r="F12">
        <v>1</v>
      </c>
    </row>
    <row r="13" spans="1:6" x14ac:dyDescent="0.35">
      <c r="A13">
        <v>1012</v>
      </c>
      <c r="B13" t="s">
        <v>19</v>
      </c>
      <c r="C13" t="s">
        <v>48</v>
      </c>
      <c r="D13" s="8">
        <v>42580</v>
      </c>
      <c r="E13">
        <v>53</v>
      </c>
      <c r="F13">
        <v>0</v>
      </c>
    </row>
    <row r="14" spans="1:6" x14ac:dyDescent="0.35">
      <c r="A14">
        <v>1013</v>
      </c>
      <c r="B14" t="s">
        <v>20</v>
      </c>
      <c r="C14" t="s">
        <v>48</v>
      </c>
      <c r="D14" s="8">
        <v>42580</v>
      </c>
      <c r="E14">
        <v>56</v>
      </c>
      <c r="F14">
        <v>0</v>
      </c>
    </row>
    <row r="15" spans="1:6" x14ac:dyDescent="0.35">
      <c r="A15">
        <v>1014</v>
      </c>
      <c r="B15" t="s">
        <v>21</v>
      </c>
      <c r="C15" t="s">
        <v>48</v>
      </c>
      <c r="D15" s="8">
        <v>42580</v>
      </c>
      <c r="E15">
        <v>53</v>
      </c>
      <c r="F15">
        <v>0</v>
      </c>
    </row>
    <row r="16" spans="1:6" x14ac:dyDescent="0.35">
      <c r="A16">
        <v>1015</v>
      </c>
      <c r="B16" t="s">
        <v>22</v>
      </c>
      <c r="C16" t="s">
        <v>48</v>
      </c>
      <c r="D16" s="8">
        <v>42580</v>
      </c>
      <c r="E16">
        <v>100</v>
      </c>
      <c r="F16">
        <v>1</v>
      </c>
    </row>
    <row r="17" spans="1:6" x14ac:dyDescent="0.35">
      <c r="A17">
        <v>1016</v>
      </c>
      <c r="B17" t="s">
        <v>23</v>
      </c>
      <c r="C17" t="s">
        <v>48</v>
      </c>
      <c r="D17" s="8">
        <v>42580</v>
      </c>
      <c r="E17">
        <v>50</v>
      </c>
      <c r="F17">
        <v>0</v>
      </c>
    </row>
    <row r="18" spans="1:6" x14ac:dyDescent="0.35">
      <c r="A18">
        <v>1017</v>
      </c>
      <c r="B18" t="s">
        <v>24</v>
      </c>
      <c r="C18" t="s">
        <v>48</v>
      </c>
      <c r="D18" s="8">
        <v>42580</v>
      </c>
      <c r="E18">
        <v>60</v>
      </c>
      <c r="F18">
        <v>1</v>
      </c>
    </row>
    <row r="19" spans="1:6" x14ac:dyDescent="0.35">
      <c r="A19">
        <v>1018</v>
      </c>
      <c r="B19" t="s">
        <v>25</v>
      </c>
      <c r="C19" t="s">
        <v>48</v>
      </c>
      <c r="D19" s="8">
        <v>42580</v>
      </c>
      <c r="E19">
        <v>38</v>
      </c>
      <c r="F19">
        <v>0</v>
      </c>
    </row>
    <row r="20" spans="1:6" x14ac:dyDescent="0.35">
      <c r="A20">
        <v>1019</v>
      </c>
      <c r="B20" t="s">
        <v>26</v>
      </c>
      <c r="C20" t="s">
        <v>48</v>
      </c>
      <c r="D20" s="8">
        <v>42580</v>
      </c>
      <c r="E20">
        <v>33</v>
      </c>
      <c r="F20">
        <v>0</v>
      </c>
    </row>
    <row r="21" spans="1:6" x14ac:dyDescent="0.35">
      <c r="A21">
        <v>1020</v>
      </c>
      <c r="B21" t="s">
        <v>27</v>
      </c>
      <c r="C21" t="s">
        <v>48</v>
      </c>
      <c r="D21" s="8">
        <v>42580</v>
      </c>
      <c r="E21">
        <v>75</v>
      </c>
      <c r="F21">
        <v>1</v>
      </c>
    </row>
    <row r="22" spans="1:6" x14ac:dyDescent="0.35">
      <c r="A22">
        <v>1021</v>
      </c>
      <c r="B22" t="s">
        <v>28</v>
      </c>
      <c r="C22" t="s">
        <v>48</v>
      </c>
      <c r="D22" s="8">
        <v>42580</v>
      </c>
      <c r="E22">
        <v>74</v>
      </c>
      <c r="F22">
        <v>1</v>
      </c>
    </row>
    <row r="23" spans="1:6" x14ac:dyDescent="0.35">
      <c r="A23">
        <v>1022</v>
      </c>
      <c r="B23" t="s">
        <v>29</v>
      </c>
      <c r="C23" t="s">
        <v>48</v>
      </c>
      <c r="D23" s="8">
        <v>42580</v>
      </c>
      <c r="E23">
        <v>7</v>
      </c>
      <c r="F23">
        <v>0</v>
      </c>
    </row>
    <row r="24" spans="1:6" x14ac:dyDescent="0.35">
      <c r="A24">
        <v>1023</v>
      </c>
      <c r="B24" t="s">
        <v>30</v>
      </c>
      <c r="C24" t="s">
        <v>48</v>
      </c>
      <c r="D24" s="8">
        <v>42580</v>
      </c>
      <c r="E24">
        <v>6</v>
      </c>
      <c r="F24">
        <v>0</v>
      </c>
    </row>
    <row r="25" spans="1:6" x14ac:dyDescent="0.35">
      <c r="A25">
        <v>1024</v>
      </c>
      <c r="B25" t="s">
        <v>31</v>
      </c>
      <c r="C25" t="s">
        <v>48</v>
      </c>
      <c r="D25" s="8">
        <v>42580</v>
      </c>
      <c r="E25">
        <v>40</v>
      </c>
      <c r="F25">
        <v>0</v>
      </c>
    </row>
    <row r="26" spans="1:6" x14ac:dyDescent="0.35">
      <c r="A26">
        <v>1025</v>
      </c>
      <c r="B26" t="s">
        <v>32</v>
      </c>
      <c r="C26" t="s">
        <v>48</v>
      </c>
      <c r="D26" s="8">
        <v>42580</v>
      </c>
      <c r="E26">
        <v>14</v>
      </c>
      <c r="F26">
        <v>0</v>
      </c>
    </row>
    <row r="27" spans="1:6" x14ac:dyDescent="0.35">
      <c r="A27">
        <v>1026</v>
      </c>
      <c r="B27" t="s">
        <v>33</v>
      </c>
      <c r="C27" t="s">
        <v>48</v>
      </c>
      <c r="D27" s="8">
        <v>42580</v>
      </c>
      <c r="E27">
        <v>16</v>
      </c>
      <c r="F27">
        <v>0</v>
      </c>
    </row>
    <row r="28" spans="1:6" x14ac:dyDescent="0.35">
      <c r="A28">
        <v>1027</v>
      </c>
      <c r="B28" t="s">
        <v>34</v>
      </c>
      <c r="C28" t="s">
        <v>48</v>
      </c>
      <c r="D28" s="8">
        <v>42580</v>
      </c>
      <c r="E28">
        <v>31</v>
      </c>
      <c r="F28">
        <v>0</v>
      </c>
    </row>
    <row r="29" spans="1:6" x14ac:dyDescent="0.35">
      <c r="A29">
        <v>1028</v>
      </c>
      <c r="B29" t="s">
        <v>35</v>
      </c>
      <c r="C29" t="s">
        <v>48</v>
      </c>
      <c r="D29" s="8">
        <v>42580</v>
      </c>
      <c r="E29">
        <v>72</v>
      </c>
      <c r="F29">
        <v>1</v>
      </c>
    </row>
    <row r="30" spans="1:6" x14ac:dyDescent="0.35">
      <c r="A30">
        <v>1029</v>
      </c>
      <c r="B30" t="s">
        <v>36</v>
      </c>
      <c r="C30" t="s">
        <v>48</v>
      </c>
      <c r="D30" s="8">
        <v>42580</v>
      </c>
      <c r="E30">
        <v>48</v>
      </c>
      <c r="F30">
        <v>0</v>
      </c>
    </row>
    <row r="31" spans="1:6" x14ac:dyDescent="0.35">
      <c r="A31">
        <v>1030</v>
      </c>
      <c r="B31" t="s">
        <v>37</v>
      </c>
      <c r="C31" t="s">
        <v>48</v>
      </c>
      <c r="D31" s="8">
        <v>42580</v>
      </c>
      <c r="E31">
        <v>53</v>
      </c>
      <c r="F31">
        <v>0</v>
      </c>
    </row>
    <row r="32" spans="1:6" x14ac:dyDescent="0.35">
      <c r="A32">
        <v>1031</v>
      </c>
      <c r="B32" t="s">
        <v>38</v>
      </c>
      <c r="C32" t="s">
        <v>48</v>
      </c>
      <c r="D32" s="8">
        <v>42580</v>
      </c>
      <c r="E32">
        <v>67</v>
      </c>
      <c r="F32">
        <v>1</v>
      </c>
    </row>
    <row r="33" spans="1:6" x14ac:dyDescent="0.35">
      <c r="A33">
        <v>1032</v>
      </c>
      <c r="B33" t="s">
        <v>39</v>
      </c>
      <c r="C33" t="s">
        <v>48</v>
      </c>
      <c r="D33" s="8">
        <v>42580</v>
      </c>
      <c r="E33">
        <v>23</v>
      </c>
      <c r="F33">
        <v>0</v>
      </c>
    </row>
    <row r="34" spans="1:6" x14ac:dyDescent="0.35">
      <c r="A34">
        <v>1033</v>
      </c>
      <c r="B34" t="s">
        <v>40</v>
      </c>
      <c r="C34" t="s">
        <v>48</v>
      </c>
      <c r="D34" s="8">
        <v>42580</v>
      </c>
      <c r="E34">
        <v>90</v>
      </c>
      <c r="F34">
        <v>1</v>
      </c>
    </row>
    <row r="35" spans="1:6" x14ac:dyDescent="0.35">
      <c r="A35">
        <v>1034</v>
      </c>
      <c r="B35" t="s">
        <v>41</v>
      </c>
      <c r="C35" t="s">
        <v>48</v>
      </c>
      <c r="D35" s="8">
        <v>42580</v>
      </c>
      <c r="E35">
        <v>87</v>
      </c>
      <c r="F35">
        <v>1</v>
      </c>
    </row>
    <row r="36" spans="1:6" x14ac:dyDescent="0.35">
      <c r="A36">
        <v>1035</v>
      </c>
      <c r="B36" t="s">
        <v>42</v>
      </c>
      <c r="C36" t="s">
        <v>48</v>
      </c>
      <c r="D36" s="8">
        <v>42580</v>
      </c>
      <c r="E36">
        <v>40</v>
      </c>
      <c r="F36">
        <v>0</v>
      </c>
    </row>
    <row r="37" spans="1:6" x14ac:dyDescent="0.35">
      <c r="A37">
        <v>1036</v>
      </c>
      <c r="B37" t="s">
        <v>43</v>
      </c>
      <c r="C37" t="s">
        <v>48</v>
      </c>
      <c r="D37" s="8">
        <v>42580</v>
      </c>
      <c r="E37">
        <v>26</v>
      </c>
      <c r="F37">
        <v>0</v>
      </c>
    </row>
    <row r="38" spans="1:6" x14ac:dyDescent="0.35">
      <c r="A38">
        <v>1037</v>
      </c>
      <c r="B38" t="s">
        <v>44</v>
      </c>
      <c r="C38" t="s">
        <v>48</v>
      </c>
      <c r="D38" s="8">
        <v>42580</v>
      </c>
      <c r="E38">
        <v>51</v>
      </c>
      <c r="F3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7BF-BA4A-4BAA-BD22-9359768BF970}">
  <dimension ref="A1:G38"/>
  <sheetViews>
    <sheetView workbookViewId="0">
      <selection activeCell="B2" sqref="B2"/>
    </sheetView>
  </sheetViews>
  <sheetFormatPr defaultRowHeight="14.5" x14ac:dyDescent="0.35"/>
  <cols>
    <col min="1" max="1" width="11.26953125" customWidth="1"/>
    <col min="2" max="2" width="18.453125" customWidth="1"/>
    <col min="3" max="3" width="15.36328125" customWidth="1"/>
    <col min="4" max="4" width="11.6328125" customWidth="1"/>
    <col min="5" max="5" width="14.54296875" customWidth="1"/>
    <col min="6" max="6" width="19.81640625" customWidth="1"/>
  </cols>
  <sheetData>
    <row r="1" spans="1:7" x14ac:dyDescent="0.35">
      <c r="A1" s="3" t="s">
        <v>0</v>
      </c>
      <c r="B1" s="1" t="s">
        <v>1</v>
      </c>
      <c r="C1" s="1" t="s">
        <v>2</v>
      </c>
      <c r="D1" s="7" t="s">
        <v>3</v>
      </c>
      <c r="E1" s="9" t="s">
        <v>4</v>
      </c>
      <c r="F1" s="10" t="s">
        <v>5</v>
      </c>
      <c r="G1" s="3"/>
    </row>
    <row r="2" spans="1:7" x14ac:dyDescent="0.35">
      <c r="A2" s="3">
        <v>1001</v>
      </c>
      <c r="B2" t="s">
        <v>6</v>
      </c>
      <c r="C2" t="s">
        <v>48</v>
      </c>
      <c r="D2" s="8" t="s">
        <v>49</v>
      </c>
      <c r="E2" s="3">
        <v>48</v>
      </c>
      <c r="F2" s="3">
        <f>IF(E2&gt;=60,1,0)</f>
        <v>0</v>
      </c>
      <c r="G2" s="3"/>
    </row>
    <row r="3" spans="1:7" x14ac:dyDescent="0.35">
      <c r="A3" s="3">
        <v>1002</v>
      </c>
      <c r="B3" t="s">
        <v>9</v>
      </c>
      <c r="C3" t="s">
        <v>48</v>
      </c>
      <c r="D3" s="8" t="s">
        <v>49</v>
      </c>
      <c r="E3" s="3">
        <v>5</v>
      </c>
      <c r="F3" s="3">
        <f t="shared" ref="F3:F38" si="0">IF(E3&gt;=60,1,0)</f>
        <v>0</v>
      </c>
      <c r="G3" s="3"/>
    </row>
    <row r="4" spans="1:7" x14ac:dyDescent="0.35">
      <c r="A4" s="3">
        <v>1003</v>
      </c>
      <c r="B4" t="s">
        <v>10</v>
      </c>
      <c r="C4" t="s">
        <v>48</v>
      </c>
      <c r="D4" s="8" t="s">
        <v>49</v>
      </c>
      <c r="E4" s="3">
        <v>7</v>
      </c>
      <c r="F4" s="3">
        <f t="shared" si="0"/>
        <v>0</v>
      </c>
      <c r="G4" s="3"/>
    </row>
    <row r="5" spans="1:7" x14ac:dyDescent="0.35">
      <c r="A5" s="3">
        <v>1004</v>
      </c>
      <c r="B5" t="s">
        <v>11</v>
      </c>
      <c r="C5" t="s">
        <v>48</v>
      </c>
      <c r="D5" s="8" t="s">
        <v>49</v>
      </c>
      <c r="E5" s="3">
        <v>70</v>
      </c>
      <c r="F5" s="3">
        <f t="shared" si="0"/>
        <v>1</v>
      </c>
      <c r="G5" s="3"/>
    </row>
    <row r="6" spans="1:7" x14ac:dyDescent="0.35">
      <c r="A6" s="3">
        <v>1005</v>
      </c>
      <c r="B6" t="s">
        <v>12</v>
      </c>
      <c r="C6" t="s">
        <v>48</v>
      </c>
      <c r="D6" s="8" t="s">
        <v>49</v>
      </c>
      <c r="E6" s="3">
        <v>73</v>
      </c>
      <c r="F6" s="3">
        <f t="shared" si="0"/>
        <v>1</v>
      </c>
      <c r="G6" s="3"/>
    </row>
    <row r="7" spans="1:7" x14ac:dyDescent="0.35">
      <c r="A7" s="3">
        <v>1006</v>
      </c>
      <c r="B7" t="s">
        <v>13</v>
      </c>
      <c r="C7" t="s">
        <v>48</v>
      </c>
      <c r="D7" s="8" t="s">
        <v>49</v>
      </c>
      <c r="E7" s="3">
        <v>59</v>
      </c>
      <c r="F7" s="3">
        <f t="shared" si="0"/>
        <v>0</v>
      </c>
      <c r="G7" s="3"/>
    </row>
    <row r="8" spans="1:7" x14ac:dyDescent="0.35">
      <c r="A8" s="3">
        <v>1007</v>
      </c>
      <c r="B8" t="s">
        <v>14</v>
      </c>
      <c r="C8" t="s">
        <v>48</v>
      </c>
      <c r="D8" s="8" t="s">
        <v>49</v>
      </c>
      <c r="E8" s="3">
        <v>23</v>
      </c>
      <c r="F8" s="3">
        <f t="shared" si="0"/>
        <v>0</v>
      </c>
      <c r="G8" s="3"/>
    </row>
    <row r="9" spans="1:7" x14ac:dyDescent="0.35">
      <c r="A9" s="3">
        <v>1008</v>
      </c>
      <c r="B9" t="s">
        <v>15</v>
      </c>
      <c r="C9" t="s">
        <v>48</v>
      </c>
      <c r="D9" s="8" t="s">
        <v>49</v>
      </c>
      <c r="E9" s="3">
        <v>72</v>
      </c>
      <c r="F9" s="3">
        <f t="shared" si="0"/>
        <v>1</v>
      </c>
      <c r="G9" s="3"/>
    </row>
    <row r="10" spans="1:7" x14ac:dyDescent="0.35">
      <c r="A10" s="3">
        <v>1009</v>
      </c>
      <c r="B10" t="s">
        <v>16</v>
      </c>
      <c r="C10" t="s">
        <v>48</v>
      </c>
      <c r="D10" s="8" t="s">
        <v>49</v>
      </c>
      <c r="E10" s="3">
        <v>31</v>
      </c>
      <c r="F10" s="3">
        <f t="shared" si="0"/>
        <v>0</v>
      </c>
      <c r="G10" s="3"/>
    </row>
    <row r="11" spans="1:7" x14ac:dyDescent="0.35">
      <c r="A11" s="3">
        <v>1010</v>
      </c>
      <c r="B11" t="s">
        <v>17</v>
      </c>
      <c r="C11" t="s">
        <v>48</v>
      </c>
      <c r="D11" s="8" t="s">
        <v>49</v>
      </c>
      <c r="E11" s="3">
        <v>74</v>
      </c>
      <c r="F11" s="3">
        <f t="shared" si="0"/>
        <v>1</v>
      </c>
      <c r="G11" s="3"/>
    </row>
    <row r="12" spans="1:7" x14ac:dyDescent="0.35">
      <c r="A12" s="3">
        <v>1011</v>
      </c>
      <c r="B12" t="s">
        <v>18</v>
      </c>
      <c r="C12" t="s">
        <v>48</v>
      </c>
      <c r="D12" s="8" t="s">
        <v>49</v>
      </c>
      <c r="E12" s="3">
        <v>91</v>
      </c>
      <c r="F12" s="3">
        <f t="shared" si="0"/>
        <v>1</v>
      </c>
      <c r="G12" s="3"/>
    </row>
    <row r="13" spans="1:7" x14ac:dyDescent="0.35">
      <c r="A13" s="3">
        <v>1012</v>
      </c>
      <c r="B13" t="s">
        <v>19</v>
      </c>
      <c r="C13" t="s">
        <v>48</v>
      </c>
      <c r="D13" s="8" t="s">
        <v>49</v>
      </c>
      <c r="E13" s="3">
        <v>53</v>
      </c>
      <c r="F13" s="3">
        <f t="shared" si="0"/>
        <v>0</v>
      </c>
      <c r="G13" s="3"/>
    </row>
    <row r="14" spans="1:7" x14ac:dyDescent="0.35">
      <c r="A14" s="3">
        <v>1013</v>
      </c>
      <c r="B14" t="s">
        <v>20</v>
      </c>
      <c r="C14" t="s">
        <v>48</v>
      </c>
      <c r="D14" s="8" t="s">
        <v>49</v>
      </c>
      <c r="E14" s="3">
        <v>56</v>
      </c>
      <c r="F14" s="3">
        <f t="shared" si="0"/>
        <v>0</v>
      </c>
      <c r="G14" s="3"/>
    </row>
    <row r="15" spans="1:7" x14ac:dyDescent="0.35">
      <c r="A15" s="3">
        <v>1014</v>
      </c>
      <c r="B15" t="s">
        <v>21</v>
      </c>
      <c r="C15" t="s">
        <v>48</v>
      </c>
      <c r="D15" s="8" t="s">
        <v>49</v>
      </c>
      <c r="E15" s="3">
        <v>53</v>
      </c>
      <c r="F15" s="3">
        <f t="shared" si="0"/>
        <v>0</v>
      </c>
      <c r="G15" s="3"/>
    </row>
    <row r="16" spans="1:7" x14ac:dyDescent="0.35">
      <c r="A16" s="3">
        <v>1015</v>
      </c>
      <c r="B16" t="s">
        <v>22</v>
      </c>
      <c r="C16" t="s">
        <v>48</v>
      </c>
      <c r="D16" s="8" t="s">
        <v>49</v>
      </c>
      <c r="E16" s="3">
        <v>100</v>
      </c>
      <c r="F16" s="3">
        <f t="shared" si="0"/>
        <v>1</v>
      </c>
      <c r="G16" s="3"/>
    </row>
    <row r="17" spans="1:7" x14ac:dyDescent="0.35">
      <c r="A17" s="3">
        <v>1016</v>
      </c>
      <c r="B17" t="s">
        <v>23</v>
      </c>
      <c r="C17" t="s">
        <v>48</v>
      </c>
      <c r="D17" s="8" t="s">
        <v>49</v>
      </c>
      <c r="E17" s="3">
        <v>50</v>
      </c>
      <c r="F17" s="3">
        <f t="shared" si="0"/>
        <v>0</v>
      </c>
      <c r="G17" s="3"/>
    </row>
    <row r="18" spans="1:7" x14ac:dyDescent="0.35">
      <c r="A18" s="3">
        <v>1017</v>
      </c>
      <c r="B18" t="s">
        <v>24</v>
      </c>
      <c r="C18" t="s">
        <v>48</v>
      </c>
      <c r="D18" s="8" t="s">
        <v>49</v>
      </c>
      <c r="E18" s="3">
        <v>60</v>
      </c>
      <c r="F18" s="3">
        <f t="shared" si="0"/>
        <v>1</v>
      </c>
      <c r="G18" s="3"/>
    </row>
    <row r="19" spans="1:7" x14ac:dyDescent="0.35">
      <c r="A19" s="3">
        <v>1018</v>
      </c>
      <c r="B19" t="s">
        <v>25</v>
      </c>
      <c r="C19" t="s">
        <v>48</v>
      </c>
      <c r="D19" s="8" t="s">
        <v>49</v>
      </c>
      <c r="E19" s="3">
        <v>38</v>
      </c>
      <c r="F19" s="3">
        <f t="shared" si="0"/>
        <v>0</v>
      </c>
      <c r="G19" s="3"/>
    </row>
    <row r="20" spans="1:7" x14ac:dyDescent="0.35">
      <c r="A20" s="3">
        <v>1019</v>
      </c>
      <c r="B20" t="s">
        <v>26</v>
      </c>
      <c r="C20" t="s">
        <v>48</v>
      </c>
      <c r="D20" s="8" t="s">
        <v>49</v>
      </c>
      <c r="E20" s="3">
        <v>33</v>
      </c>
      <c r="F20" s="3">
        <f t="shared" si="0"/>
        <v>0</v>
      </c>
      <c r="G20" s="3"/>
    </row>
    <row r="21" spans="1:7" x14ac:dyDescent="0.35">
      <c r="A21" s="3">
        <v>1020</v>
      </c>
      <c r="B21" t="s">
        <v>27</v>
      </c>
      <c r="C21" t="s">
        <v>48</v>
      </c>
      <c r="D21" s="8" t="s">
        <v>49</v>
      </c>
      <c r="E21" s="3">
        <v>75</v>
      </c>
      <c r="F21" s="3">
        <f t="shared" si="0"/>
        <v>1</v>
      </c>
      <c r="G21" s="3"/>
    </row>
    <row r="22" spans="1:7" x14ac:dyDescent="0.35">
      <c r="A22" s="3">
        <v>1021</v>
      </c>
      <c r="B22" t="s">
        <v>28</v>
      </c>
      <c r="C22" t="s">
        <v>48</v>
      </c>
      <c r="D22" s="8" t="s">
        <v>49</v>
      </c>
      <c r="E22" s="3">
        <v>74</v>
      </c>
      <c r="F22" s="3">
        <f t="shared" si="0"/>
        <v>1</v>
      </c>
      <c r="G22" s="3"/>
    </row>
    <row r="23" spans="1:7" x14ac:dyDescent="0.35">
      <c r="A23" s="3">
        <v>1022</v>
      </c>
      <c r="B23" t="s">
        <v>29</v>
      </c>
      <c r="C23" t="s">
        <v>48</v>
      </c>
      <c r="D23" s="8" t="s">
        <v>49</v>
      </c>
      <c r="E23" s="3">
        <v>7</v>
      </c>
      <c r="F23" s="3">
        <f t="shared" si="0"/>
        <v>0</v>
      </c>
      <c r="G23" s="3"/>
    </row>
    <row r="24" spans="1:7" x14ac:dyDescent="0.35">
      <c r="A24" s="3">
        <v>1023</v>
      </c>
      <c r="B24" t="s">
        <v>30</v>
      </c>
      <c r="C24" t="s">
        <v>48</v>
      </c>
      <c r="D24" s="8" t="s">
        <v>49</v>
      </c>
      <c r="E24" s="3">
        <v>6</v>
      </c>
      <c r="F24" s="3">
        <f t="shared" si="0"/>
        <v>0</v>
      </c>
      <c r="G24" s="3"/>
    </row>
    <row r="25" spans="1:7" x14ac:dyDescent="0.35">
      <c r="A25" s="3">
        <v>1024</v>
      </c>
      <c r="B25" t="s">
        <v>31</v>
      </c>
      <c r="C25" t="s">
        <v>48</v>
      </c>
      <c r="D25" s="8" t="s">
        <v>49</v>
      </c>
      <c r="E25" s="3">
        <v>40</v>
      </c>
      <c r="F25" s="3">
        <f t="shared" si="0"/>
        <v>0</v>
      </c>
      <c r="G25" s="3"/>
    </row>
    <row r="26" spans="1:7" x14ac:dyDescent="0.35">
      <c r="A26" s="3">
        <v>1025</v>
      </c>
      <c r="B26" t="s">
        <v>32</v>
      </c>
      <c r="C26" t="s">
        <v>48</v>
      </c>
      <c r="D26" s="8" t="s">
        <v>49</v>
      </c>
      <c r="E26" s="3">
        <v>14</v>
      </c>
      <c r="F26" s="3">
        <f t="shared" si="0"/>
        <v>0</v>
      </c>
      <c r="G26" s="3"/>
    </row>
    <row r="27" spans="1:7" x14ac:dyDescent="0.35">
      <c r="A27" s="3">
        <v>1026</v>
      </c>
      <c r="B27" t="s">
        <v>33</v>
      </c>
      <c r="C27" t="s">
        <v>48</v>
      </c>
      <c r="D27" s="8" t="s">
        <v>49</v>
      </c>
      <c r="E27" s="3">
        <v>16</v>
      </c>
      <c r="F27" s="3">
        <f t="shared" si="0"/>
        <v>0</v>
      </c>
      <c r="G27" s="3"/>
    </row>
    <row r="28" spans="1:7" x14ac:dyDescent="0.35">
      <c r="A28" s="3">
        <v>1027</v>
      </c>
      <c r="B28" t="s">
        <v>34</v>
      </c>
      <c r="C28" t="s">
        <v>48</v>
      </c>
      <c r="D28" s="8" t="s">
        <v>49</v>
      </c>
      <c r="E28" s="3">
        <v>31</v>
      </c>
      <c r="F28" s="3">
        <f t="shared" si="0"/>
        <v>0</v>
      </c>
      <c r="G28" s="3"/>
    </row>
    <row r="29" spans="1:7" x14ac:dyDescent="0.35">
      <c r="A29" s="3">
        <v>1028</v>
      </c>
      <c r="B29" t="s">
        <v>35</v>
      </c>
      <c r="C29" t="s">
        <v>48</v>
      </c>
      <c r="D29" s="8" t="s">
        <v>49</v>
      </c>
      <c r="E29" s="3">
        <v>72</v>
      </c>
      <c r="F29" s="3">
        <f t="shared" si="0"/>
        <v>1</v>
      </c>
      <c r="G29" s="3"/>
    </row>
    <row r="30" spans="1:7" x14ac:dyDescent="0.35">
      <c r="A30" s="3">
        <v>1029</v>
      </c>
      <c r="B30" t="s">
        <v>36</v>
      </c>
      <c r="C30" t="s">
        <v>48</v>
      </c>
      <c r="D30" s="8" t="s">
        <v>49</v>
      </c>
      <c r="E30" s="3">
        <v>48</v>
      </c>
      <c r="F30" s="3">
        <f t="shared" si="0"/>
        <v>0</v>
      </c>
      <c r="G30" s="3"/>
    </row>
    <row r="31" spans="1:7" x14ac:dyDescent="0.35">
      <c r="A31" s="3">
        <v>1030</v>
      </c>
      <c r="B31" t="s">
        <v>37</v>
      </c>
      <c r="C31" t="s">
        <v>48</v>
      </c>
      <c r="D31" s="8" t="s">
        <v>49</v>
      </c>
      <c r="E31" s="3">
        <v>53</v>
      </c>
      <c r="F31" s="3">
        <f t="shared" si="0"/>
        <v>0</v>
      </c>
      <c r="G31" s="3"/>
    </row>
    <row r="32" spans="1:7" x14ac:dyDescent="0.35">
      <c r="A32" s="3">
        <v>1031</v>
      </c>
      <c r="B32" t="s">
        <v>38</v>
      </c>
      <c r="C32" t="s">
        <v>48</v>
      </c>
      <c r="D32" s="8" t="s">
        <v>49</v>
      </c>
      <c r="E32" s="3">
        <v>67</v>
      </c>
      <c r="F32" s="3">
        <f t="shared" si="0"/>
        <v>1</v>
      </c>
      <c r="G32" s="3"/>
    </row>
    <row r="33" spans="1:7" x14ac:dyDescent="0.35">
      <c r="A33" s="3">
        <v>1032</v>
      </c>
      <c r="B33" t="s">
        <v>39</v>
      </c>
      <c r="C33" t="s">
        <v>48</v>
      </c>
      <c r="D33" s="8" t="s">
        <v>49</v>
      </c>
      <c r="E33" s="3">
        <v>23</v>
      </c>
      <c r="F33" s="3">
        <f t="shared" si="0"/>
        <v>0</v>
      </c>
      <c r="G33" s="3"/>
    </row>
    <row r="34" spans="1:7" x14ac:dyDescent="0.35">
      <c r="A34" s="3">
        <v>1033</v>
      </c>
      <c r="B34" t="s">
        <v>40</v>
      </c>
      <c r="C34" t="s">
        <v>48</v>
      </c>
      <c r="D34" s="8" t="s">
        <v>49</v>
      </c>
      <c r="E34" s="3">
        <v>90</v>
      </c>
      <c r="F34" s="3">
        <f t="shared" si="0"/>
        <v>1</v>
      </c>
      <c r="G34" s="3"/>
    </row>
    <row r="35" spans="1:7" x14ac:dyDescent="0.35">
      <c r="A35" s="3">
        <v>1034</v>
      </c>
      <c r="B35" t="s">
        <v>41</v>
      </c>
      <c r="C35" t="s">
        <v>48</v>
      </c>
      <c r="D35" s="8" t="s">
        <v>49</v>
      </c>
      <c r="E35" s="3">
        <v>87</v>
      </c>
      <c r="F35" s="3">
        <f t="shared" si="0"/>
        <v>1</v>
      </c>
      <c r="G35" s="3"/>
    </row>
    <row r="36" spans="1:7" x14ac:dyDescent="0.35">
      <c r="A36" s="3">
        <v>1035</v>
      </c>
      <c r="B36" t="s">
        <v>42</v>
      </c>
      <c r="C36" t="s">
        <v>48</v>
      </c>
      <c r="D36" s="8" t="s">
        <v>49</v>
      </c>
      <c r="E36" s="3">
        <v>40</v>
      </c>
      <c r="F36" s="3">
        <f t="shared" si="0"/>
        <v>0</v>
      </c>
      <c r="G36" s="3"/>
    </row>
    <row r="37" spans="1:7" x14ac:dyDescent="0.35">
      <c r="A37" s="3">
        <v>1036</v>
      </c>
      <c r="B37" t="s">
        <v>43</v>
      </c>
      <c r="C37" t="s">
        <v>48</v>
      </c>
      <c r="D37" s="8" t="s">
        <v>49</v>
      </c>
      <c r="E37" s="3">
        <v>26</v>
      </c>
      <c r="F37" s="3">
        <f t="shared" si="0"/>
        <v>0</v>
      </c>
      <c r="G37" s="3"/>
    </row>
    <row r="38" spans="1:7" x14ac:dyDescent="0.35">
      <c r="A38" s="3">
        <v>1037</v>
      </c>
      <c r="B38" t="s">
        <v>44</v>
      </c>
      <c r="C38" t="s">
        <v>48</v>
      </c>
      <c r="D38" s="8" t="s">
        <v>49</v>
      </c>
      <c r="E38" s="3">
        <v>51</v>
      </c>
      <c r="F38" s="3">
        <f t="shared" si="0"/>
        <v>0</v>
      </c>
      <c r="G38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B237-5C0C-45B9-8F60-56A72C6D8A1C}">
  <dimension ref="A1:F39"/>
  <sheetViews>
    <sheetView workbookViewId="0"/>
  </sheetViews>
  <sheetFormatPr defaultRowHeight="14.5" x14ac:dyDescent="0.35"/>
  <cols>
    <col min="1" max="1" width="11.54296875" bestFit="1" customWidth="1"/>
    <col min="2" max="2" width="15.453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50</v>
      </c>
      <c r="D2" s="8">
        <v>42523</v>
      </c>
      <c r="E2">
        <v>35</v>
      </c>
      <c r="F2">
        <v>0</v>
      </c>
    </row>
    <row r="3" spans="1:6" x14ac:dyDescent="0.35">
      <c r="A3">
        <v>1002</v>
      </c>
      <c r="B3" t="s">
        <v>9</v>
      </c>
      <c r="C3" t="s">
        <v>50</v>
      </c>
      <c r="D3" s="8">
        <v>42523</v>
      </c>
      <c r="E3">
        <v>66</v>
      </c>
      <c r="F3">
        <v>1</v>
      </c>
    </row>
    <row r="4" spans="1:6" x14ac:dyDescent="0.35">
      <c r="A4">
        <v>1003</v>
      </c>
      <c r="B4" t="s">
        <v>10</v>
      </c>
      <c r="C4" t="s">
        <v>50</v>
      </c>
      <c r="D4" s="8">
        <v>42523</v>
      </c>
      <c r="E4">
        <v>29</v>
      </c>
      <c r="F4">
        <v>0</v>
      </c>
    </row>
    <row r="5" spans="1:6" x14ac:dyDescent="0.35">
      <c r="A5">
        <v>1004</v>
      </c>
      <c r="B5" t="s">
        <v>11</v>
      </c>
      <c r="C5" t="s">
        <v>50</v>
      </c>
      <c r="D5" s="8">
        <v>42523</v>
      </c>
      <c r="E5">
        <v>91</v>
      </c>
      <c r="F5">
        <v>1</v>
      </c>
    </row>
    <row r="6" spans="1:6" x14ac:dyDescent="0.35">
      <c r="A6">
        <v>1005</v>
      </c>
      <c r="B6" t="s">
        <v>12</v>
      </c>
      <c r="C6" t="s">
        <v>50</v>
      </c>
      <c r="D6" s="8">
        <v>42523</v>
      </c>
      <c r="E6">
        <v>63</v>
      </c>
      <c r="F6">
        <v>1</v>
      </c>
    </row>
    <row r="7" spans="1:6" x14ac:dyDescent="0.35">
      <c r="A7">
        <v>1006</v>
      </c>
      <c r="B7" t="s">
        <v>13</v>
      </c>
      <c r="C7" t="s">
        <v>50</v>
      </c>
      <c r="D7" s="8">
        <v>42523</v>
      </c>
      <c r="E7">
        <v>16</v>
      </c>
      <c r="F7">
        <v>0</v>
      </c>
    </row>
    <row r="8" spans="1:6" x14ac:dyDescent="0.35">
      <c r="A8">
        <v>1007</v>
      </c>
      <c r="B8" t="s">
        <v>14</v>
      </c>
      <c r="C8" t="s">
        <v>50</v>
      </c>
      <c r="D8" s="8">
        <v>42523</v>
      </c>
      <c r="E8">
        <v>10</v>
      </c>
      <c r="F8">
        <v>0</v>
      </c>
    </row>
    <row r="9" spans="1:6" x14ac:dyDescent="0.35">
      <c r="A9">
        <v>1008</v>
      </c>
      <c r="B9" t="s">
        <v>15</v>
      </c>
      <c r="C9" t="s">
        <v>50</v>
      </c>
      <c r="D9" s="8">
        <v>42523</v>
      </c>
      <c r="E9">
        <v>23</v>
      </c>
      <c r="F9">
        <v>0</v>
      </c>
    </row>
    <row r="10" spans="1:6" x14ac:dyDescent="0.35">
      <c r="A10">
        <v>1009</v>
      </c>
      <c r="B10" t="s">
        <v>16</v>
      </c>
      <c r="C10" t="s">
        <v>50</v>
      </c>
      <c r="D10" s="8">
        <v>42523</v>
      </c>
      <c r="E10">
        <v>72</v>
      </c>
      <c r="F10">
        <v>1</v>
      </c>
    </row>
    <row r="11" spans="1:6" x14ac:dyDescent="0.35">
      <c r="A11">
        <v>1010</v>
      </c>
      <c r="B11" t="s">
        <v>17</v>
      </c>
      <c r="C11" t="s">
        <v>50</v>
      </c>
      <c r="D11" s="8">
        <v>42523</v>
      </c>
      <c r="E11">
        <v>93</v>
      </c>
      <c r="F11">
        <v>1</v>
      </c>
    </row>
    <row r="12" spans="1:6" x14ac:dyDescent="0.35">
      <c r="A12">
        <v>1011</v>
      </c>
      <c r="B12" t="s">
        <v>18</v>
      </c>
      <c r="C12" t="s">
        <v>50</v>
      </c>
      <c r="D12" s="8">
        <v>42523</v>
      </c>
      <c r="E12">
        <v>10</v>
      </c>
      <c r="F12">
        <v>0</v>
      </c>
    </row>
    <row r="13" spans="1:6" x14ac:dyDescent="0.35">
      <c r="A13">
        <v>1012</v>
      </c>
      <c r="B13" t="s">
        <v>19</v>
      </c>
      <c r="C13" t="s">
        <v>50</v>
      </c>
      <c r="D13" s="8">
        <v>42523</v>
      </c>
      <c r="E13">
        <v>99</v>
      </c>
      <c r="F13">
        <v>1</v>
      </c>
    </row>
    <row r="14" spans="1:6" x14ac:dyDescent="0.35">
      <c r="A14">
        <v>1013</v>
      </c>
      <c r="B14" t="s">
        <v>20</v>
      </c>
      <c r="C14" t="s">
        <v>50</v>
      </c>
      <c r="D14" s="8">
        <v>42523</v>
      </c>
      <c r="E14">
        <v>78</v>
      </c>
      <c r="F14">
        <v>1</v>
      </c>
    </row>
    <row r="15" spans="1:6" x14ac:dyDescent="0.35">
      <c r="A15">
        <v>1014</v>
      </c>
      <c r="B15" t="s">
        <v>21</v>
      </c>
      <c r="C15" t="s">
        <v>50</v>
      </c>
      <c r="D15" s="8">
        <v>42523</v>
      </c>
      <c r="E15">
        <v>81</v>
      </c>
      <c r="F15">
        <v>1</v>
      </c>
    </row>
    <row r="16" spans="1:6" x14ac:dyDescent="0.35">
      <c r="A16">
        <v>1015</v>
      </c>
      <c r="B16" t="s">
        <v>22</v>
      </c>
      <c r="C16" t="s">
        <v>50</v>
      </c>
      <c r="D16" s="8">
        <v>42523</v>
      </c>
      <c r="E16">
        <v>40</v>
      </c>
      <c r="F16">
        <v>0</v>
      </c>
    </row>
    <row r="17" spans="1:6" x14ac:dyDescent="0.35">
      <c r="A17">
        <v>1016</v>
      </c>
      <c r="B17" t="s">
        <v>23</v>
      </c>
      <c r="C17" t="s">
        <v>50</v>
      </c>
      <c r="D17" s="8">
        <v>42523</v>
      </c>
      <c r="E17">
        <v>23</v>
      </c>
      <c r="F17">
        <v>0</v>
      </c>
    </row>
    <row r="18" spans="1:6" x14ac:dyDescent="0.35">
      <c r="A18">
        <v>1017</v>
      </c>
      <c r="B18" t="s">
        <v>24</v>
      </c>
      <c r="C18" t="s">
        <v>50</v>
      </c>
      <c r="D18" s="8">
        <v>42523</v>
      </c>
      <c r="E18">
        <v>65</v>
      </c>
      <c r="F18">
        <v>1</v>
      </c>
    </row>
    <row r="19" spans="1:6" x14ac:dyDescent="0.35">
      <c r="A19">
        <v>1018</v>
      </c>
      <c r="B19" t="s">
        <v>25</v>
      </c>
      <c r="C19" t="s">
        <v>50</v>
      </c>
      <c r="D19" s="8">
        <v>42523</v>
      </c>
      <c r="E19">
        <v>24</v>
      </c>
      <c r="F19">
        <v>0</v>
      </c>
    </row>
    <row r="20" spans="1:6" x14ac:dyDescent="0.35">
      <c r="A20">
        <v>1019</v>
      </c>
      <c r="B20" t="s">
        <v>26</v>
      </c>
      <c r="C20" t="s">
        <v>50</v>
      </c>
      <c r="D20" s="8">
        <v>42523</v>
      </c>
      <c r="E20">
        <v>62</v>
      </c>
      <c r="F20">
        <v>1</v>
      </c>
    </row>
    <row r="21" spans="1:6" x14ac:dyDescent="0.35">
      <c r="A21">
        <v>1020</v>
      </c>
      <c r="B21" t="s">
        <v>27</v>
      </c>
      <c r="C21" t="s">
        <v>50</v>
      </c>
      <c r="D21" s="8">
        <v>42523</v>
      </c>
      <c r="E21">
        <v>41</v>
      </c>
      <c r="F21">
        <v>0</v>
      </c>
    </row>
    <row r="22" spans="1:6" x14ac:dyDescent="0.35">
      <c r="A22">
        <v>1021</v>
      </c>
      <c r="B22" t="s">
        <v>28</v>
      </c>
      <c r="C22" t="s">
        <v>50</v>
      </c>
      <c r="D22" s="8">
        <v>42523</v>
      </c>
      <c r="E22">
        <v>42</v>
      </c>
      <c r="F22">
        <v>0</v>
      </c>
    </row>
    <row r="23" spans="1:6" x14ac:dyDescent="0.35">
      <c r="A23">
        <v>1022</v>
      </c>
      <c r="B23" t="s">
        <v>29</v>
      </c>
      <c r="C23" t="s">
        <v>50</v>
      </c>
      <c r="D23" s="8">
        <v>42523</v>
      </c>
      <c r="E23">
        <v>8</v>
      </c>
      <c r="F23">
        <v>0</v>
      </c>
    </row>
    <row r="24" spans="1:6" x14ac:dyDescent="0.35">
      <c r="A24">
        <v>1023</v>
      </c>
      <c r="B24" t="s">
        <v>30</v>
      </c>
      <c r="C24" t="s">
        <v>50</v>
      </c>
      <c r="D24" s="8">
        <v>42523</v>
      </c>
      <c r="E24">
        <v>91</v>
      </c>
      <c r="F24">
        <v>1</v>
      </c>
    </row>
    <row r="25" spans="1:6" x14ac:dyDescent="0.35">
      <c r="A25">
        <v>1024</v>
      </c>
      <c r="B25" t="s">
        <v>31</v>
      </c>
      <c r="C25" t="s">
        <v>50</v>
      </c>
      <c r="D25" s="8">
        <v>42523</v>
      </c>
      <c r="E25">
        <v>69</v>
      </c>
      <c r="F25">
        <v>1</v>
      </c>
    </row>
    <row r="26" spans="1:6" x14ac:dyDescent="0.35">
      <c r="A26">
        <v>1025</v>
      </c>
      <c r="B26" t="s">
        <v>32</v>
      </c>
      <c r="C26" t="s">
        <v>50</v>
      </c>
      <c r="D26" s="8">
        <v>42523</v>
      </c>
      <c r="E26">
        <v>47</v>
      </c>
      <c r="F26">
        <v>0</v>
      </c>
    </row>
    <row r="27" spans="1:6" x14ac:dyDescent="0.35">
      <c r="A27">
        <v>1026</v>
      </c>
      <c r="B27" t="s">
        <v>33</v>
      </c>
      <c r="C27" t="s">
        <v>50</v>
      </c>
      <c r="D27" s="8">
        <v>42523</v>
      </c>
      <c r="E27">
        <v>0</v>
      </c>
      <c r="F27">
        <v>0</v>
      </c>
    </row>
    <row r="28" spans="1:6" x14ac:dyDescent="0.35">
      <c r="A28">
        <v>1027</v>
      </c>
      <c r="B28" t="s">
        <v>34</v>
      </c>
      <c r="C28" t="s">
        <v>50</v>
      </c>
      <c r="D28" s="8">
        <v>42523</v>
      </c>
      <c r="E28">
        <v>42</v>
      </c>
      <c r="F28">
        <v>0</v>
      </c>
    </row>
    <row r="29" spans="1:6" x14ac:dyDescent="0.35">
      <c r="A29">
        <v>1028</v>
      </c>
      <c r="B29" t="s">
        <v>35</v>
      </c>
      <c r="C29" t="s">
        <v>50</v>
      </c>
      <c r="D29" s="8">
        <v>42523</v>
      </c>
      <c r="E29">
        <v>65</v>
      </c>
      <c r="F29">
        <v>1</v>
      </c>
    </row>
    <row r="30" spans="1:6" x14ac:dyDescent="0.35">
      <c r="A30">
        <v>1029</v>
      </c>
      <c r="B30" t="s">
        <v>36</v>
      </c>
      <c r="C30" t="s">
        <v>50</v>
      </c>
      <c r="D30" s="8">
        <v>42523</v>
      </c>
      <c r="E30">
        <v>42</v>
      </c>
      <c r="F30">
        <v>0</v>
      </c>
    </row>
    <row r="31" spans="1:6" x14ac:dyDescent="0.35">
      <c r="A31">
        <v>1030</v>
      </c>
      <c r="B31" t="s">
        <v>37</v>
      </c>
      <c r="C31" t="s">
        <v>50</v>
      </c>
      <c r="D31" s="8">
        <v>42523</v>
      </c>
      <c r="E31">
        <v>32</v>
      </c>
      <c r="F31">
        <v>0</v>
      </c>
    </row>
    <row r="32" spans="1:6" x14ac:dyDescent="0.35">
      <c r="A32">
        <v>1031</v>
      </c>
      <c r="B32" t="s">
        <v>38</v>
      </c>
      <c r="C32" t="s">
        <v>50</v>
      </c>
      <c r="D32" s="8">
        <v>42523</v>
      </c>
      <c r="E32">
        <v>33</v>
      </c>
      <c r="F32">
        <v>0</v>
      </c>
    </row>
    <row r="33" spans="1:6" x14ac:dyDescent="0.35">
      <c r="A33">
        <v>1032</v>
      </c>
      <c r="B33" t="s">
        <v>39</v>
      </c>
      <c r="C33" t="s">
        <v>50</v>
      </c>
      <c r="D33" s="8">
        <v>42523</v>
      </c>
      <c r="E33">
        <v>4</v>
      </c>
      <c r="F33">
        <v>0</v>
      </c>
    </row>
    <row r="34" spans="1:6" x14ac:dyDescent="0.35">
      <c r="A34">
        <v>1033</v>
      </c>
      <c r="B34" t="s">
        <v>40</v>
      </c>
      <c r="C34" t="s">
        <v>50</v>
      </c>
      <c r="D34" s="8">
        <v>42523</v>
      </c>
      <c r="E34">
        <v>27</v>
      </c>
      <c r="F34">
        <v>0</v>
      </c>
    </row>
    <row r="35" spans="1:6" x14ac:dyDescent="0.35">
      <c r="A35">
        <v>1034</v>
      </c>
      <c r="B35" t="s">
        <v>41</v>
      </c>
      <c r="C35" t="s">
        <v>50</v>
      </c>
      <c r="D35" s="8">
        <v>42523</v>
      </c>
      <c r="E35">
        <v>56</v>
      </c>
      <c r="F35">
        <v>0</v>
      </c>
    </row>
    <row r="36" spans="1:6" x14ac:dyDescent="0.35">
      <c r="A36">
        <v>1035</v>
      </c>
      <c r="B36" t="s">
        <v>42</v>
      </c>
      <c r="C36" t="s">
        <v>50</v>
      </c>
      <c r="D36" s="8">
        <v>42523</v>
      </c>
      <c r="E36">
        <v>36</v>
      </c>
      <c r="F36">
        <v>0</v>
      </c>
    </row>
    <row r="37" spans="1:6" x14ac:dyDescent="0.35">
      <c r="A37">
        <v>1036</v>
      </c>
      <c r="B37" t="s">
        <v>43</v>
      </c>
      <c r="C37" t="s">
        <v>50</v>
      </c>
      <c r="D37" s="8">
        <v>42523</v>
      </c>
      <c r="E37">
        <v>51</v>
      </c>
      <c r="F37">
        <v>0</v>
      </c>
    </row>
    <row r="38" spans="1:6" x14ac:dyDescent="0.35">
      <c r="A38">
        <v>1037</v>
      </c>
      <c r="B38" t="s">
        <v>44</v>
      </c>
      <c r="C38" t="s">
        <v>50</v>
      </c>
      <c r="D38" s="8">
        <v>42523</v>
      </c>
      <c r="E38">
        <v>71</v>
      </c>
      <c r="F38">
        <v>1</v>
      </c>
    </row>
    <row r="39" spans="1:6" x14ac:dyDescent="0.35">
      <c r="A39">
        <v>1038</v>
      </c>
      <c r="B39" t="s">
        <v>45</v>
      </c>
      <c r="C39" t="s">
        <v>50</v>
      </c>
      <c r="D39" s="8">
        <v>42523</v>
      </c>
      <c r="E39">
        <v>52</v>
      </c>
      <c r="F3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A32-5843-4589-B601-632689CECE57}">
  <dimension ref="A1:F39"/>
  <sheetViews>
    <sheetView workbookViewId="0">
      <selection activeCell="L3" sqref="L3"/>
    </sheetView>
  </sheetViews>
  <sheetFormatPr defaultRowHeight="14.5" x14ac:dyDescent="0.35"/>
  <cols>
    <col min="1" max="1" width="12.90625" customWidth="1"/>
    <col min="2" max="2" width="16.6328125" customWidth="1"/>
    <col min="3" max="3" width="12.6328125" customWidth="1"/>
    <col min="4" max="4" width="11.6328125" customWidth="1"/>
    <col min="5" max="5" width="13.08984375" customWidth="1"/>
    <col min="6" max="6" width="19.8164062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7" t="s">
        <v>3</v>
      </c>
      <c r="E1" s="9" t="s">
        <v>4</v>
      </c>
      <c r="F1" s="10" t="s">
        <v>5</v>
      </c>
    </row>
    <row r="2" spans="1:6" x14ac:dyDescent="0.35">
      <c r="A2" s="3">
        <v>1001</v>
      </c>
      <c r="B2" t="s">
        <v>6</v>
      </c>
      <c r="C2" t="s">
        <v>50</v>
      </c>
      <c r="D2" s="8" t="s">
        <v>51</v>
      </c>
      <c r="E2" s="3">
        <v>35</v>
      </c>
      <c r="F2" s="3">
        <f>IF(E2&gt;=60,1,0)</f>
        <v>0</v>
      </c>
    </row>
    <row r="3" spans="1:6" x14ac:dyDescent="0.35">
      <c r="A3" s="3">
        <v>1002</v>
      </c>
      <c r="B3" t="s">
        <v>9</v>
      </c>
      <c r="C3" t="s">
        <v>50</v>
      </c>
      <c r="D3" s="8" t="s">
        <v>51</v>
      </c>
      <c r="E3" s="3">
        <v>66</v>
      </c>
      <c r="F3" s="3">
        <f t="shared" ref="F3:F39" si="0">IF(E3&gt;=60,1,0)</f>
        <v>1</v>
      </c>
    </row>
    <row r="4" spans="1:6" x14ac:dyDescent="0.35">
      <c r="A4" s="3">
        <v>1003</v>
      </c>
      <c r="B4" t="s">
        <v>10</v>
      </c>
      <c r="C4" t="s">
        <v>50</v>
      </c>
      <c r="D4" s="8" t="s">
        <v>51</v>
      </c>
      <c r="E4" s="3">
        <v>29</v>
      </c>
      <c r="F4" s="3">
        <f t="shared" si="0"/>
        <v>0</v>
      </c>
    </row>
    <row r="5" spans="1:6" x14ac:dyDescent="0.35">
      <c r="A5" s="3">
        <v>1004</v>
      </c>
      <c r="B5" t="s">
        <v>11</v>
      </c>
      <c r="C5" t="s">
        <v>50</v>
      </c>
      <c r="D5" s="8" t="s">
        <v>51</v>
      </c>
      <c r="E5" s="3">
        <v>91</v>
      </c>
      <c r="F5" s="3">
        <f t="shared" si="0"/>
        <v>1</v>
      </c>
    </row>
    <row r="6" spans="1:6" x14ac:dyDescent="0.35">
      <c r="A6" s="3">
        <v>1005</v>
      </c>
      <c r="B6" t="s">
        <v>12</v>
      </c>
      <c r="C6" t="s">
        <v>50</v>
      </c>
      <c r="D6" s="8" t="s">
        <v>51</v>
      </c>
      <c r="E6" s="3">
        <v>63</v>
      </c>
      <c r="F6" s="3">
        <f t="shared" si="0"/>
        <v>1</v>
      </c>
    </row>
    <row r="7" spans="1:6" x14ac:dyDescent="0.35">
      <c r="A7" s="3">
        <v>1006</v>
      </c>
      <c r="B7" t="s">
        <v>13</v>
      </c>
      <c r="C7" t="s">
        <v>50</v>
      </c>
      <c r="D7" s="8" t="s">
        <v>51</v>
      </c>
      <c r="E7" s="3">
        <v>16</v>
      </c>
      <c r="F7" s="3">
        <f t="shared" si="0"/>
        <v>0</v>
      </c>
    </row>
    <row r="8" spans="1:6" x14ac:dyDescent="0.35">
      <c r="A8" s="3">
        <v>1007</v>
      </c>
      <c r="B8" t="s">
        <v>14</v>
      </c>
      <c r="C8" t="s">
        <v>50</v>
      </c>
      <c r="D8" s="8" t="s">
        <v>51</v>
      </c>
      <c r="E8" s="3">
        <v>10</v>
      </c>
      <c r="F8" s="3">
        <f t="shared" si="0"/>
        <v>0</v>
      </c>
    </row>
    <row r="9" spans="1:6" x14ac:dyDescent="0.35">
      <c r="A9" s="3">
        <v>1008</v>
      </c>
      <c r="B9" t="s">
        <v>15</v>
      </c>
      <c r="C9" t="s">
        <v>50</v>
      </c>
      <c r="D9" s="8" t="s">
        <v>51</v>
      </c>
      <c r="E9" s="3">
        <v>23</v>
      </c>
      <c r="F9" s="3">
        <f t="shared" si="0"/>
        <v>0</v>
      </c>
    </row>
    <row r="10" spans="1:6" x14ac:dyDescent="0.35">
      <c r="A10" s="3">
        <v>1009</v>
      </c>
      <c r="B10" t="s">
        <v>16</v>
      </c>
      <c r="C10" t="s">
        <v>50</v>
      </c>
      <c r="D10" s="8" t="s">
        <v>51</v>
      </c>
      <c r="E10" s="3">
        <v>72</v>
      </c>
      <c r="F10" s="3">
        <f t="shared" si="0"/>
        <v>1</v>
      </c>
    </row>
    <row r="11" spans="1:6" x14ac:dyDescent="0.35">
      <c r="A11" s="3">
        <v>1010</v>
      </c>
      <c r="B11" t="s">
        <v>17</v>
      </c>
      <c r="C11" t="s">
        <v>50</v>
      </c>
      <c r="D11" s="8" t="s">
        <v>51</v>
      </c>
      <c r="E11" s="3">
        <v>93</v>
      </c>
      <c r="F11" s="3">
        <f t="shared" si="0"/>
        <v>1</v>
      </c>
    </row>
    <row r="12" spans="1:6" x14ac:dyDescent="0.35">
      <c r="A12" s="3">
        <v>1011</v>
      </c>
      <c r="B12" t="s">
        <v>18</v>
      </c>
      <c r="C12" t="s">
        <v>50</v>
      </c>
      <c r="D12" s="8" t="s">
        <v>51</v>
      </c>
      <c r="E12" s="3">
        <v>10</v>
      </c>
      <c r="F12" s="3">
        <f t="shared" si="0"/>
        <v>0</v>
      </c>
    </row>
    <row r="13" spans="1:6" x14ac:dyDescent="0.35">
      <c r="A13" s="3">
        <v>1012</v>
      </c>
      <c r="B13" t="s">
        <v>19</v>
      </c>
      <c r="C13" t="s">
        <v>50</v>
      </c>
      <c r="D13" s="8" t="s">
        <v>51</v>
      </c>
      <c r="E13" s="3">
        <v>99</v>
      </c>
      <c r="F13" s="3">
        <f t="shared" si="0"/>
        <v>1</v>
      </c>
    </row>
    <row r="14" spans="1:6" x14ac:dyDescent="0.35">
      <c r="A14" s="3">
        <v>1013</v>
      </c>
      <c r="B14" t="s">
        <v>20</v>
      </c>
      <c r="C14" t="s">
        <v>50</v>
      </c>
      <c r="D14" s="8" t="s">
        <v>51</v>
      </c>
      <c r="E14" s="3">
        <v>78</v>
      </c>
      <c r="F14" s="3">
        <f t="shared" si="0"/>
        <v>1</v>
      </c>
    </row>
    <row r="15" spans="1:6" x14ac:dyDescent="0.35">
      <c r="A15" s="3">
        <v>1014</v>
      </c>
      <c r="B15" t="s">
        <v>21</v>
      </c>
      <c r="C15" t="s">
        <v>50</v>
      </c>
      <c r="D15" s="8" t="s">
        <v>51</v>
      </c>
      <c r="E15" s="3">
        <v>81</v>
      </c>
      <c r="F15" s="3">
        <f t="shared" si="0"/>
        <v>1</v>
      </c>
    </row>
    <row r="16" spans="1:6" x14ac:dyDescent="0.35">
      <c r="A16" s="3">
        <v>1015</v>
      </c>
      <c r="B16" t="s">
        <v>22</v>
      </c>
      <c r="C16" t="s">
        <v>50</v>
      </c>
      <c r="D16" s="8" t="s">
        <v>51</v>
      </c>
      <c r="E16" s="3">
        <v>40</v>
      </c>
      <c r="F16" s="3">
        <f t="shared" si="0"/>
        <v>0</v>
      </c>
    </row>
    <row r="17" spans="1:6" x14ac:dyDescent="0.35">
      <c r="A17" s="3">
        <v>1016</v>
      </c>
      <c r="B17" t="s">
        <v>23</v>
      </c>
      <c r="C17" t="s">
        <v>50</v>
      </c>
      <c r="D17" s="8" t="s">
        <v>51</v>
      </c>
      <c r="E17" s="3">
        <v>23</v>
      </c>
      <c r="F17" s="3">
        <f t="shared" si="0"/>
        <v>0</v>
      </c>
    </row>
    <row r="18" spans="1:6" x14ac:dyDescent="0.35">
      <c r="A18" s="3">
        <v>1017</v>
      </c>
      <c r="B18" t="s">
        <v>24</v>
      </c>
      <c r="C18" t="s">
        <v>50</v>
      </c>
      <c r="D18" s="8" t="s">
        <v>51</v>
      </c>
      <c r="E18" s="3">
        <v>65</v>
      </c>
      <c r="F18" s="3">
        <f t="shared" si="0"/>
        <v>1</v>
      </c>
    </row>
    <row r="19" spans="1:6" x14ac:dyDescent="0.35">
      <c r="A19" s="3">
        <v>1018</v>
      </c>
      <c r="B19" t="s">
        <v>25</v>
      </c>
      <c r="C19" t="s">
        <v>50</v>
      </c>
      <c r="D19" s="8" t="s">
        <v>51</v>
      </c>
      <c r="E19" s="3">
        <v>24</v>
      </c>
      <c r="F19" s="3">
        <f t="shared" si="0"/>
        <v>0</v>
      </c>
    </row>
    <row r="20" spans="1:6" x14ac:dyDescent="0.35">
      <c r="A20" s="3">
        <v>1019</v>
      </c>
      <c r="B20" t="s">
        <v>26</v>
      </c>
      <c r="C20" t="s">
        <v>50</v>
      </c>
      <c r="D20" s="8" t="s">
        <v>51</v>
      </c>
      <c r="E20" s="3">
        <v>62</v>
      </c>
      <c r="F20" s="3">
        <f t="shared" si="0"/>
        <v>1</v>
      </c>
    </row>
    <row r="21" spans="1:6" x14ac:dyDescent="0.35">
      <c r="A21" s="3">
        <v>1020</v>
      </c>
      <c r="B21" t="s">
        <v>27</v>
      </c>
      <c r="C21" t="s">
        <v>50</v>
      </c>
      <c r="D21" s="8" t="s">
        <v>51</v>
      </c>
      <c r="E21" s="3">
        <v>41</v>
      </c>
      <c r="F21" s="3">
        <f t="shared" si="0"/>
        <v>0</v>
      </c>
    </row>
    <row r="22" spans="1:6" x14ac:dyDescent="0.35">
      <c r="A22" s="3">
        <v>1021</v>
      </c>
      <c r="B22" t="s">
        <v>28</v>
      </c>
      <c r="C22" t="s">
        <v>50</v>
      </c>
      <c r="D22" s="8" t="s">
        <v>51</v>
      </c>
      <c r="E22" s="3">
        <v>42</v>
      </c>
      <c r="F22" s="3">
        <f t="shared" si="0"/>
        <v>0</v>
      </c>
    </row>
    <row r="23" spans="1:6" x14ac:dyDescent="0.35">
      <c r="A23" s="3">
        <v>1022</v>
      </c>
      <c r="B23" t="s">
        <v>29</v>
      </c>
      <c r="C23" t="s">
        <v>50</v>
      </c>
      <c r="D23" s="8" t="s">
        <v>51</v>
      </c>
      <c r="E23" s="3">
        <v>8</v>
      </c>
      <c r="F23" s="3">
        <f t="shared" si="0"/>
        <v>0</v>
      </c>
    </row>
    <row r="24" spans="1:6" x14ac:dyDescent="0.35">
      <c r="A24" s="3">
        <v>1023</v>
      </c>
      <c r="B24" t="s">
        <v>30</v>
      </c>
      <c r="C24" t="s">
        <v>50</v>
      </c>
      <c r="D24" s="8" t="s">
        <v>51</v>
      </c>
      <c r="E24" s="3">
        <v>91</v>
      </c>
      <c r="F24" s="3">
        <f t="shared" si="0"/>
        <v>1</v>
      </c>
    </row>
    <row r="25" spans="1:6" x14ac:dyDescent="0.35">
      <c r="A25" s="3">
        <v>1024</v>
      </c>
      <c r="B25" t="s">
        <v>31</v>
      </c>
      <c r="C25" t="s">
        <v>50</v>
      </c>
      <c r="D25" s="8" t="s">
        <v>51</v>
      </c>
      <c r="E25" s="3">
        <v>69</v>
      </c>
      <c r="F25" s="3">
        <f t="shared" si="0"/>
        <v>1</v>
      </c>
    </row>
    <row r="26" spans="1:6" x14ac:dyDescent="0.35">
      <c r="A26" s="3">
        <v>1025</v>
      </c>
      <c r="B26" t="s">
        <v>32</v>
      </c>
      <c r="C26" t="s">
        <v>50</v>
      </c>
      <c r="D26" s="8" t="s">
        <v>51</v>
      </c>
      <c r="E26" s="3">
        <v>47</v>
      </c>
      <c r="F26" s="3">
        <f t="shared" si="0"/>
        <v>0</v>
      </c>
    </row>
    <row r="27" spans="1:6" x14ac:dyDescent="0.35">
      <c r="A27" s="3">
        <v>1026</v>
      </c>
      <c r="B27" t="s">
        <v>33</v>
      </c>
      <c r="C27" t="s">
        <v>50</v>
      </c>
      <c r="D27" s="8" t="s">
        <v>51</v>
      </c>
      <c r="E27" s="3">
        <v>0</v>
      </c>
      <c r="F27" s="3">
        <f t="shared" si="0"/>
        <v>0</v>
      </c>
    </row>
    <row r="28" spans="1:6" x14ac:dyDescent="0.35">
      <c r="A28" s="3">
        <v>1027</v>
      </c>
      <c r="B28" t="s">
        <v>34</v>
      </c>
      <c r="C28" t="s">
        <v>50</v>
      </c>
      <c r="D28" s="8" t="s">
        <v>51</v>
      </c>
      <c r="E28" s="3">
        <v>42</v>
      </c>
      <c r="F28" s="3">
        <f t="shared" si="0"/>
        <v>0</v>
      </c>
    </row>
    <row r="29" spans="1:6" x14ac:dyDescent="0.35">
      <c r="A29" s="3">
        <v>1028</v>
      </c>
      <c r="B29" t="s">
        <v>35</v>
      </c>
      <c r="C29" t="s">
        <v>50</v>
      </c>
      <c r="D29" s="8" t="s">
        <v>51</v>
      </c>
      <c r="E29" s="3">
        <v>65</v>
      </c>
      <c r="F29" s="3">
        <f t="shared" si="0"/>
        <v>1</v>
      </c>
    </row>
    <row r="30" spans="1:6" x14ac:dyDescent="0.35">
      <c r="A30" s="3">
        <v>1029</v>
      </c>
      <c r="B30" t="s">
        <v>36</v>
      </c>
      <c r="C30" t="s">
        <v>50</v>
      </c>
      <c r="D30" s="8" t="s">
        <v>51</v>
      </c>
      <c r="E30" s="3">
        <v>42</v>
      </c>
      <c r="F30" s="3">
        <f t="shared" si="0"/>
        <v>0</v>
      </c>
    </row>
    <row r="31" spans="1:6" x14ac:dyDescent="0.35">
      <c r="A31" s="3">
        <v>1030</v>
      </c>
      <c r="B31" t="s">
        <v>37</v>
      </c>
      <c r="C31" t="s">
        <v>50</v>
      </c>
      <c r="D31" s="8" t="s">
        <v>51</v>
      </c>
      <c r="E31" s="3">
        <v>32</v>
      </c>
      <c r="F31" s="3">
        <f t="shared" si="0"/>
        <v>0</v>
      </c>
    </row>
    <row r="32" spans="1:6" x14ac:dyDescent="0.35">
      <c r="A32" s="3">
        <v>1031</v>
      </c>
      <c r="B32" t="s">
        <v>38</v>
      </c>
      <c r="C32" t="s">
        <v>50</v>
      </c>
      <c r="D32" s="8" t="s">
        <v>51</v>
      </c>
      <c r="E32" s="3">
        <v>33</v>
      </c>
      <c r="F32" s="3">
        <f t="shared" si="0"/>
        <v>0</v>
      </c>
    </row>
    <row r="33" spans="1:6" x14ac:dyDescent="0.35">
      <c r="A33" s="3">
        <v>1032</v>
      </c>
      <c r="B33" t="s">
        <v>39</v>
      </c>
      <c r="C33" t="s">
        <v>50</v>
      </c>
      <c r="D33" s="8" t="s">
        <v>51</v>
      </c>
      <c r="E33" s="3">
        <v>4</v>
      </c>
      <c r="F33" s="3">
        <f t="shared" si="0"/>
        <v>0</v>
      </c>
    </row>
    <row r="34" spans="1:6" x14ac:dyDescent="0.35">
      <c r="A34" s="3">
        <v>1033</v>
      </c>
      <c r="B34" t="s">
        <v>40</v>
      </c>
      <c r="C34" t="s">
        <v>50</v>
      </c>
      <c r="D34" s="8" t="s">
        <v>51</v>
      </c>
      <c r="E34" s="3">
        <v>27</v>
      </c>
      <c r="F34" s="3">
        <f t="shared" si="0"/>
        <v>0</v>
      </c>
    </row>
    <row r="35" spans="1:6" x14ac:dyDescent="0.35">
      <c r="A35" s="3">
        <v>1034</v>
      </c>
      <c r="B35" t="s">
        <v>41</v>
      </c>
      <c r="C35" t="s">
        <v>50</v>
      </c>
      <c r="D35" s="8" t="s">
        <v>51</v>
      </c>
      <c r="E35" s="3">
        <v>56</v>
      </c>
      <c r="F35" s="3">
        <f t="shared" si="0"/>
        <v>0</v>
      </c>
    </row>
    <row r="36" spans="1:6" x14ac:dyDescent="0.35">
      <c r="A36" s="3">
        <v>1035</v>
      </c>
      <c r="B36" t="s">
        <v>42</v>
      </c>
      <c r="C36" t="s">
        <v>50</v>
      </c>
      <c r="D36" s="8" t="s">
        <v>51</v>
      </c>
      <c r="E36" s="3">
        <v>36</v>
      </c>
      <c r="F36" s="3">
        <f t="shared" si="0"/>
        <v>0</v>
      </c>
    </row>
    <row r="37" spans="1:6" x14ac:dyDescent="0.35">
      <c r="A37" s="3">
        <v>1036</v>
      </c>
      <c r="B37" t="s">
        <v>43</v>
      </c>
      <c r="C37" t="s">
        <v>50</v>
      </c>
      <c r="D37" s="8" t="s">
        <v>51</v>
      </c>
      <c r="E37" s="3">
        <v>51</v>
      </c>
      <c r="F37" s="3">
        <f t="shared" si="0"/>
        <v>0</v>
      </c>
    </row>
    <row r="38" spans="1:6" x14ac:dyDescent="0.35">
      <c r="A38" s="3">
        <v>1037</v>
      </c>
      <c r="B38" t="s">
        <v>44</v>
      </c>
      <c r="C38" t="s">
        <v>50</v>
      </c>
      <c r="D38" s="8" t="s">
        <v>51</v>
      </c>
      <c r="E38" s="3">
        <v>71</v>
      </c>
      <c r="F38" s="3">
        <f t="shared" si="0"/>
        <v>1</v>
      </c>
    </row>
    <row r="39" spans="1:6" x14ac:dyDescent="0.35">
      <c r="A39" s="3">
        <v>1038</v>
      </c>
      <c r="B39" t="s">
        <v>45</v>
      </c>
      <c r="C39" t="s">
        <v>50</v>
      </c>
      <c r="D39" s="8" t="s">
        <v>51</v>
      </c>
      <c r="E39" s="3">
        <v>52</v>
      </c>
      <c r="F39" s="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8B7B-6F3C-4788-A01E-C57B58BBE49D}">
  <dimension ref="A1:F22"/>
  <sheetViews>
    <sheetView workbookViewId="0"/>
  </sheetViews>
  <sheetFormatPr defaultRowHeight="14.5" x14ac:dyDescent="0.35"/>
  <cols>
    <col min="1" max="1" width="11.54296875" bestFit="1" customWidth="1"/>
    <col min="2" max="2" width="15.36328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52</v>
      </c>
      <c r="D2" s="8">
        <v>42531</v>
      </c>
      <c r="E2">
        <v>69</v>
      </c>
      <c r="F2">
        <v>1</v>
      </c>
    </row>
    <row r="3" spans="1:6" x14ac:dyDescent="0.35">
      <c r="A3">
        <v>1002</v>
      </c>
      <c r="B3" t="s">
        <v>9</v>
      </c>
      <c r="C3" t="s">
        <v>52</v>
      </c>
      <c r="D3" s="8">
        <v>42531</v>
      </c>
      <c r="E3">
        <v>95</v>
      </c>
      <c r="F3">
        <v>1</v>
      </c>
    </row>
    <row r="4" spans="1:6" x14ac:dyDescent="0.35">
      <c r="A4">
        <v>1003</v>
      </c>
      <c r="B4" t="s">
        <v>10</v>
      </c>
      <c r="C4" t="s">
        <v>52</v>
      </c>
      <c r="D4" s="8">
        <v>42531</v>
      </c>
      <c r="E4">
        <v>33</v>
      </c>
      <c r="F4">
        <v>0</v>
      </c>
    </row>
    <row r="5" spans="1:6" x14ac:dyDescent="0.35">
      <c r="A5">
        <v>1004</v>
      </c>
      <c r="B5" t="s">
        <v>11</v>
      </c>
      <c r="C5" t="s">
        <v>52</v>
      </c>
      <c r="D5" s="8">
        <v>42531</v>
      </c>
      <c r="E5">
        <v>76</v>
      </c>
      <c r="F5">
        <v>1</v>
      </c>
    </row>
    <row r="6" spans="1:6" x14ac:dyDescent="0.35">
      <c r="A6">
        <v>1005</v>
      </c>
      <c r="B6" t="s">
        <v>12</v>
      </c>
      <c r="C6" t="s">
        <v>52</v>
      </c>
      <c r="D6" s="8">
        <v>42531</v>
      </c>
      <c r="E6">
        <v>20</v>
      </c>
      <c r="F6">
        <v>0</v>
      </c>
    </row>
    <row r="7" spans="1:6" x14ac:dyDescent="0.35">
      <c r="A7">
        <v>1006</v>
      </c>
      <c r="B7" t="s">
        <v>13</v>
      </c>
      <c r="C7" t="s">
        <v>52</v>
      </c>
      <c r="D7" s="8">
        <v>42531</v>
      </c>
      <c r="E7">
        <v>10</v>
      </c>
      <c r="F7">
        <v>0</v>
      </c>
    </row>
    <row r="8" spans="1:6" x14ac:dyDescent="0.35">
      <c r="A8">
        <v>1007</v>
      </c>
      <c r="B8" t="s">
        <v>14</v>
      </c>
      <c r="C8" t="s">
        <v>52</v>
      </c>
      <c r="D8" s="8">
        <v>42531</v>
      </c>
      <c r="E8">
        <v>72</v>
      </c>
      <c r="F8">
        <v>1</v>
      </c>
    </row>
    <row r="9" spans="1:6" x14ac:dyDescent="0.35">
      <c r="A9">
        <v>1008</v>
      </c>
      <c r="B9" t="s">
        <v>15</v>
      </c>
      <c r="C9" t="s">
        <v>52</v>
      </c>
      <c r="D9" s="8">
        <v>42531</v>
      </c>
      <c r="E9">
        <v>80</v>
      </c>
      <c r="F9">
        <v>1</v>
      </c>
    </row>
    <row r="10" spans="1:6" x14ac:dyDescent="0.35">
      <c r="A10">
        <v>1009</v>
      </c>
      <c r="B10" t="s">
        <v>16</v>
      </c>
      <c r="C10" t="s">
        <v>52</v>
      </c>
      <c r="D10" s="8">
        <v>42531</v>
      </c>
      <c r="E10">
        <v>22</v>
      </c>
      <c r="F10">
        <v>0</v>
      </c>
    </row>
    <row r="11" spans="1:6" x14ac:dyDescent="0.35">
      <c r="A11">
        <v>1010</v>
      </c>
      <c r="B11" t="s">
        <v>17</v>
      </c>
      <c r="C11" t="s">
        <v>52</v>
      </c>
      <c r="D11" s="8">
        <v>42531</v>
      </c>
      <c r="E11">
        <v>8</v>
      </c>
      <c r="F11">
        <v>0</v>
      </c>
    </row>
    <row r="12" spans="1:6" x14ac:dyDescent="0.35">
      <c r="A12">
        <v>1011</v>
      </c>
      <c r="B12" t="s">
        <v>18</v>
      </c>
      <c r="C12" t="s">
        <v>52</v>
      </c>
      <c r="D12" s="8">
        <v>42531</v>
      </c>
      <c r="E12">
        <v>100</v>
      </c>
      <c r="F12">
        <v>1</v>
      </c>
    </row>
    <row r="13" spans="1:6" x14ac:dyDescent="0.35">
      <c r="A13">
        <v>1012</v>
      </c>
      <c r="B13" t="s">
        <v>19</v>
      </c>
      <c r="C13" t="s">
        <v>52</v>
      </c>
      <c r="D13" s="8">
        <v>42531</v>
      </c>
      <c r="E13">
        <v>49</v>
      </c>
      <c r="F13">
        <v>0</v>
      </c>
    </row>
    <row r="14" spans="1:6" x14ac:dyDescent="0.35">
      <c r="A14">
        <v>1013</v>
      </c>
      <c r="B14" t="s">
        <v>20</v>
      </c>
      <c r="C14" t="s">
        <v>52</v>
      </c>
      <c r="D14" s="8">
        <v>42531</v>
      </c>
      <c r="E14">
        <v>70</v>
      </c>
      <c r="F14">
        <v>1</v>
      </c>
    </row>
    <row r="15" spans="1:6" x14ac:dyDescent="0.35">
      <c r="A15">
        <v>1014</v>
      </c>
      <c r="B15" t="s">
        <v>21</v>
      </c>
      <c r="C15" t="s">
        <v>52</v>
      </c>
      <c r="D15" s="8">
        <v>42531</v>
      </c>
      <c r="E15">
        <v>86</v>
      </c>
      <c r="F15">
        <v>1</v>
      </c>
    </row>
    <row r="16" spans="1:6" x14ac:dyDescent="0.35">
      <c r="A16">
        <v>1015</v>
      </c>
      <c r="B16" t="s">
        <v>22</v>
      </c>
      <c r="C16" t="s">
        <v>52</v>
      </c>
      <c r="D16" s="8">
        <v>42531</v>
      </c>
      <c r="E16">
        <v>15</v>
      </c>
      <c r="F16">
        <v>0</v>
      </c>
    </row>
    <row r="17" spans="1:6" x14ac:dyDescent="0.35">
      <c r="A17">
        <v>1016</v>
      </c>
      <c r="B17" t="s">
        <v>23</v>
      </c>
      <c r="C17" t="s">
        <v>52</v>
      </c>
      <c r="D17" s="8">
        <v>42531</v>
      </c>
      <c r="E17">
        <v>95</v>
      </c>
      <c r="F17">
        <v>1</v>
      </c>
    </row>
    <row r="18" spans="1:6" x14ac:dyDescent="0.35">
      <c r="A18">
        <v>1017</v>
      </c>
      <c r="B18" t="s">
        <v>24</v>
      </c>
      <c r="C18" t="s">
        <v>52</v>
      </c>
      <c r="D18" s="8">
        <v>42531</v>
      </c>
      <c r="E18">
        <v>77</v>
      </c>
      <c r="F18">
        <v>1</v>
      </c>
    </row>
    <row r="19" spans="1:6" x14ac:dyDescent="0.35">
      <c r="A19">
        <v>1018</v>
      </c>
      <c r="B19" t="s">
        <v>25</v>
      </c>
      <c r="C19" t="s">
        <v>52</v>
      </c>
      <c r="D19" s="8">
        <v>42531</v>
      </c>
      <c r="E19">
        <v>20</v>
      </c>
      <c r="F19">
        <v>0</v>
      </c>
    </row>
    <row r="20" spans="1:6" x14ac:dyDescent="0.35">
      <c r="A20">
        <v>1019</v>
      </c>
      <c r="B20" t="s">
        <v>26</v>
      </c>
      <c r="C20" t="s">
        <v>52</v>
      </c>
      <c r="D20" s="8">
        <v>42531</v>
      </c>
      <c r="E20">
        <v>31</v>
      </c>
      <c r="F20">
        <v>0</v>
      </c>
    </row>
    <row r="21" spans="1:6" x14ac:dyDescent="0.35">
      <c r="A21">
        <v>1020</v>
      </c>
      <c r="B21" t="s">
        <v>27</v>
      </c>
      <c r="C21" t="s">
        <v>52</v>
      </c>
      <c r="D21" s="8">
        <v>42531</v>
      </c>
      <c r="E21">
        <v>48</v>
      </c>
      <c r="F21">
        <v>0</v>
      </c>
    </row>
    <row r="22" spans="1:6" x14ac:dyDescent="0.35">
      <c r="A22">
        <v>1021</v>
      </c>
      <c r="B22" t="s">
        <v>28</v>
      </c>
      <c r="C22" t="s">
        <v>52</v>
      </c>
      <c r="D22" s="8">
        <v>42531</v>
      </c>
      <c r="E22">
        <v>26</v>
      </c>
      <c r="F22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27-D765-4D83-A9A0-B4FAF960D4E0}">
  <dimension ref="A1:F22"/>
  <sheetViews>
    <sheetView workbookViewId="0">
      <selection activeCell="B6" sqref="B6"/>
    </sheetView>
  </sheetViews>
  <sheetFormatPr defaultRowHeight="14.5" x14ac:dyDescent="0.35"/>
  <cols>
    <col min="1" max="1" width="11.26953125" customWidth="1"/>
    <col min="2" max="2" width="18.453125" customWidth="1"/>
    <col min="3" max="3" width="12.54296875" customWidth="1"/>
    <col min="4" max="4" width="11.6328125" customWidth="1"/>
    <col min="5" max="5" width="14.26953125" customWidth="1"/>
    <col min="6" max="6" width="19.8164062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7" t="s">
        <v>3</v>
      </c>
      <c r="E1" s="9" t="s">
        <v>4</v>
      </c>
      <c r="F1" s="10" t="s">
        <v>5</v>
      </c>
    </row>
    <row r="2" spans="1:6" x14ac:dyDescent="0.35">
      <c r="A2" s="3">
        <v>1001</v>
      </c>
      <c r="B2" t="s">
        <v>6</v>
      </c>
      <c r="C2" t="s">
        <v>52</v>
      </c>
      <c r="D2" s="8" t="s">
        <v>53</v>
      </c>
      <c r="E2" s="3">
        <v>69</v>
      </c>
      <c r="F2" s="3">
        <f>IF(E2&gt;=60,1,0)</f>
        <v>1</v>
      </c>
    </row>
    <row r="3" spans="1:6" x14ac:dyDescent="0.35">
      <c r="A3" s="3">
        <v>1002</v>
      </c>
      <c r="B3" t="s">
        <v>9</v>
      </c>
      <c r="C3" t="s">
        <v>52</v>
      </c>
      <c r="D3" s="8" t="s">
        <v>53</v>
      </c>
      <c r="E3" s="3">
        <v>95</v>
      </c>
      <c r="F3" s="3">
        <f t="shared" ref="F3:F22" si="0">IF(E3&gt;=60,1,0)</f>
        <v>1</v>
      </c>
    </row>
    <row r="4" spans="1:6" x14ac:dyDescent="0.35">
      <c r="A4" s="3">
        <v>1003</v>
      </c>
      <c r="B4" t="s">
        <v>10</v>
      </c>
      <c r="C4" t="s">
        <v>52</v>
      </c>
      <c r="D4" s="8" t="s">
        <v>53</v>
      </c>
      <c r="E4" s="3">
        <v>33</v>
      </c>
      <c r="F4" s="3">
        <f t="shared" si="0"/>
        <v>0</v>
      </c>
    </row>
    <row r="5" spans="1:6" x14ac:dyDescent="0.35">
      <c r="A5" s="3">
        <v>1004</v>
      </c>
      <c r="B5" t="s">
        <v>11</v>
      </c>
      <c r="C5" t="s">
        <v>52</v>
      </c>
      <c r="D5" s="8" t="s">
        <v>53</v>
      </c>
      <c r="E5" s="3">
        <v>76</v>
      </c>
      <c r="F5" s="3">
        <f t="shared" si="0"/>
        <v>1</v>
      </c>
    </row>
    <row r="6" spans="1:6" x14ac:dyDescent="0.35">
      <c r="A6" s="3">
        <v>1005</v>
      </c>
      <c r="B6" t="s">
        <v>12</v>
      </c>
      <c r="C6" t="s">
        <v>52</v>
      </c>
      <c r="D6" s="8" t="s">
        <v>53</v>
      </c>
      <c r="E6" s="3">
        <v>20</v>
      </c>
      <c r="F6" s="3">
        <f t="shared" si="0"/>
        <v>0</v>
      </c>
    </row>
    <row r="7" spans="1:6" x14ac:dyDescent="0.35">
      <c r="A7" s="3">
        <v>1006</v>
      </c>
      <c r="B7" t="s">
        <v>13</v>
      </c>
      <c r="C7" t="s">
        <v>52</v>
      </c>
      <c r="D7" s="8" t="s">
        <v>53</v>
      </c>
      <c r="E7" s="3">
        <v>10</v>
      </c>
      <c r="F7" s="3">
        <f t="shared" si="0"/>
        <v>0</v>
      </c>
    </row>
    <row r="8" spans="1:6" x14ac:dyDescent="0.35">
      <c r="A8" s="3">
        <v>1007</v>
      </c>
      <c r="B8" t="s">
        <v>14</v>
      </c>
      <c r="C8" t="s">
        <v>52</v>
      </c>
      <c r="D8" s="8" t="s">
        <v>53</v>
      </c>
      <c r="E8" s="3">
        <v>72</v>
      </c>
      <c r="F8" s="3">
        <f t="shared" si="0"/>
        <v>1</v>
      </c>
    </row>
    <row r="9" spans="1:6" x14ac:dyDescent="0.35">
      <c r="A9" s="3">
        <v>1008</v>
      </c>
      <c r="B9" t="s">
        <v>15</v>
      </c>
      <c r="C9" t="s">
        <v>52</v>
      </c>
      <c r="D9" s="8" t="s">
        <v>53</v>
      </c>
      <c r="E9" s="3">
        <v>80</v>
      </c>
      <c r="F9" s="3">
        <f t="shared" si="0"/>
        <v>1</v>
      </c>
    </row>
    <row r="10" spans="1:6" x14ac:dyDescent="0.35">
      <c r="A10" s="3">
        <v>1009</v>
      </c>
      <c r="B10" t="s">
        <v>16</v>
      </c>
      <c r="C10" t="s">
        <v>52</v>
      </c>
      <c r="D10" s="8" t="s">
        <v>53</v>
      </c>
      <c r="E10" s="3">
        <v>22</v>
      </c>
      <c r="F10" s="3">
        <f t="shared" si="0"/>
        <v>0</v>
      </c>
    </row>
    <row r="11" spans="1:6" x14ac:dyDescent="0.35">
      <c r="A11" s="3">
        <v>1010</v>
      </c>
      <c r="B11" t="s">
        <v>17</v>
      </c>
      <c r="C11" t="s">
        <v>52</v>
      </c>
      <c r="D11" s="8" t="s">
        <v>53</v>
      </c>
      <c r="E11" s="3">
        <v>8</v>
      </c>
      <c r="F11" s="3">
        <f t="shared" si="0"/>
        <v>0</v>
      </c>
    </row>
    <row r="12" spans="1:6" x14ac:dyDescent="0.35">
      <c r="A12" s="3">
        <v>1011</v>
      </c>
      <c r="B12" t="s">
        <v>18</v>
      </c>
      <c r="C12" t="s">
        <v>52</v>
      </c>
      <c r="D12" s="8" t="s">
        <v>53</v>
      </c>
      <c r="E12" s="3">
        <v>100</v>
      </c>
      <c r="F12" s="3">
        <f t="shared" si="0"/>
        <v>1</v>
      </c>
    </row>
    <row r="13" spans="1:6" x14ac:dyDescent="0.35">
      <c r="A13" s="3">
        <v>1012</v>
      </c>
      <c r="B13" t="s">
        <v>19</v>
      </c>
      <c r="C13" t="s">
        <v>52</v>
      </c>
      <c r="D13" s="8" t="s">
        <v>53</v>
      </c>
      <c r="E13" s="3">
        <v>49</v>
      </c>
      <c r="F13" s="3">
        <f t="shared" si="0"/>
        <v>0</v>
      </c>
    </row>
    <row r="14" spans="1:6" x14ac:dyDescent="0.35">
      <c r="A14" s="3">
        <v>1013</v>
      </c>
      <c r="B14" t="s">
        <v>20</v>
      </c>
      <c r="C14" t="s">
        <v>52</v>
      </c>
      <c r="D14" s="8" t="s">
        <v>53</v>
      </c>
      <c r="E14" s="3">
        <v>70</v>
      </c>
      <c r="F14" s="3">
        <f t="shared" si="0"/>
        <v>1</v>
      </c>
    </row>
    <row r="15" spans="1:6" x14ac:dyDescent="0.35">
      <c r="A15" s="3">
        <v>1014</v>
      </c>
      <c r="B15" t="s">
        <v>21</v>
      </c>
      <c r="C15" t="s">
        <v>52</v>
      </c>
      <c r="D15" s="8" t="s">
        <v>53</v>
      </c>
      <c r="E15" s="3">
        <v>86</v>
      </c>
      <c r="F15" s="3">
        <f t="shared" si="0"/>
        <v>1</v>
      </c>
    </row>
    <row r="16" spans="1:6" x14ac:dyDescent="0.35">
      <c r="A16" s="3">
        <v>1015</v>
      </c>
      <c r="B16" t="s">
        <v>22</v>
      </c>
      <c r="C16" t="s">
        <v>52</v>
      </c>
      <c r="D16" s="8" t="s">
        <v>53</v>
      </c>
      <c r="E16" s="3">
        <v>15</v>
      </c>
      <c r="F16" s="3">
        <f t="shared" si="0"/>
        <v>0</v>
      </c>
    </row>
    <row r="17" spans="1:6" x14ac:dyDescent="0.35">
      <c r="A17" s="3">
        <v>1016</v>
      </c>
      <c r="B17" t="s">
        <v>23</v>
      </c>
      <c r="C17" t="s">
        <v>52</v>
      </c>
      <c r="D17" s="8" t="s">
        <v>53</v>
      </c>
      <c r="E17" s="3">
        <v>95</v>
      </c>
      <c r="F17" s="3">
        <f t="shared" si="0"/>
        <v>1</v>
      </c>
    </row>
    <row r="18" spans="1:6" x14ac:dyDescent="0.35">
      <c r="A18" s="3">
        <v>1017</v>
      </c>
      <c r="B18" t="s">
        <v>24</v>
      </c>
      <c r="C18" t="s">
        <v>52</v>
      </c>
      <c r="D18" s="8" t="s">
        <v>53</v>
      </c>
      <c r="E18" s="3">
        <v>77</v>
      </c>
      <c r="F18" s="3">
        <f t="shared" si="0"/>
        <v>1</v>
      </c>
    </row>
    <row r="19" spans="1:6" x14ac:dyDescent="0.35">
      <c r="A19" s="3">
        <v>1018</v>
      </c>
      <c r="B19" t="s">
        <v>25</v>
      </c>
      <c r="C19" t="s">
        <v>52</v>
      </c>
      <c r="D19" s="8" t="s">
        <v>53</v>
      </c>
      <c r="E19" s="3">
        <v>20</v>
      </c>
      <c r="F19" s="3">
        <f t="shared" si="0"/>
        <v>0</v>
      </c>
    </row>
    <row r="20" spans="1:6" x14ac:dyDescent="0.35">
      <c r="A20" s="3">
        <v>1019</v>
      </c>
      <c r="B20" t="s">
        <v>26</v>
      </c>
      <c r="C20" t="s">
        <v>52</v>
      </c>
      <c r="D20" s="8" t="s">
        <v>53</v>
      </c>
      <c r="E20" s="3">
        <v>31</v>
      </c>
      <c r="F20" s="3">
        <f t="shared" si="0"/>
        <v>0</v>
      </c>
    </row>
    <row r="21" spans="1:6" x14ac:dyDescent="0.35">
      <c r="A21" s="3">
        <v>1020</v>
      </c>
      <c r="B21" t="s">
        <v>27</v>
      </c>
      <c r="C21" t="s">
        <v>52</v>
      </c>
      <c r="D21" s="8" t="s">
        <v>53</v>
      </c>
      <c r="E21" s="3">
        <v>48</v>
      </c>
      <c r="F21" s="3">
        <f t="shared" si="0"/>
        <v>0</v>
      </c>
    </row>
    <row r="22" spans="1:6" x14ac:dyDescent="0.35">
      <c r="A22" s="3">
        <v>1021</v>
      </c>
      <c r="B22" t="s">
        <v>28</v>
      </c>
      <c r="C22" t="s">
        <v>52</v>
      </c>
      <c r="D22" s="8" t="s">
        <v>53</v>
      </c>
      <c r="E22" s="3">
        <v>26</v>
      </c>
      <c r="F22" s="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1718-693F-40C4-9EC3-E3873F1DE93D}">
  <dimension ref="A1:F40"/>
  <sheetViews>
    <sheetView workbookViewId="0">
      <selection activeCell="H8" sqref="H8"/>
    </sheetView>
  </sheetViews>
  <sheetFormatPr defaultRowHeight="14.5" x14ac:dyDescent="0.35"/>
  <cols>
    <col min="1" max="1" width="11.54296875" bestFit="1" customWidth="1"/>
    <col min="2" max="2" width="15.453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54</v>
      </c>
      <c r="D2" s="8">
        <v>42542</v>
      </c>
      <c r="E2">
        <v>70</v>
      </c>
      <c r="F2">
        <v>1</v>
      </c>
    </row>
    <row r="3" spans="1:6" x14ac:dyDescent="0.35">
      <c r="A3">
        <v>1002</v>
      </c>
      <c r="B3" t="s">
        <v>9</v>
      </c>
      <c r="C3" t="s">
        <v>54</v>
      </c>
      <c r="D3" s="8">
        <v>42542</v>
      </c>
      <c r="E3">
        <v>37</v>
      </c>
      <c r="F3">
        <v>0</v>
      </c>
    </row>
    <row r="4" spans="1:6" x14ac:dyDescent="0.35">
      <c r="A4">
        <v>1003</v>
      </c>
      <c r="B4" t="s">
        <v>10</v>
      </c>
      <c r="C4" t="s">
        <v>54</v>
      </c>
      <c r="D4" s="8">
        <v>42542</v>
      </c>
      <c r="E4">
        <v>68</v>
      </c>
      <c r="F4">
        <v>1</v>
      </c>
    </row>
    <row r="5" spans="1:6" x14ac:dyDescent="0.35">
      <c r="A5">
        <v>1004</v>
      </c>
      <c r="B5" t="s">
        <v>11</v>
      </c>
      <c r="C5" t="s">
        <v>54</v>
      </c>
      <c r="D5" s="8">
        <v>42542</v>
      </c>
      <c r="E5">
        <v>60</v>
      </c>
      <c r="F5">
        <v>1</v>
      </c>
    </row>
    <row r="6" spans="1:6" x14ac:dyDescent="0.35">
      <c r="A6">
        <v>1005</v>
      </c>
      <c r="B6" t="s">
        <v>12</v>
      </c>
      <c r="C6" t="s">
        <v>54</v>
      </c>
      <c r="D6" s="8">
        <v>42542</v>
      </c>
      <c r="E6">
        <v>98</v>
      </c>
      <c r="F6">
        <v>1</v>
      </c>
    </row>
    <row r="7" spans="1:6" x14ac:dyDescent="0.35">
      <c r="A7">
        <v>1006</v>
      </c>
      <c r="B7" t="s">
        <v>13</v>
      </c>
      <c r="C7" t="s">
        <v>54</v>
      </c>
      <c r="D7" s="8">
        <v>42542</v>
      </c>
      <c r="E7">
        <v>20</v>
      </c>
      <c r="F7">
        <v>0</v>
      </c>
    </row>
    <row r="8" spans="1:6" x14ac:dyDescent="0.35">
      <c r="A8">
        <v>1007</v>
      </c>
      <c r="B8" t="s">
        <v>14</v>
      </c>
      <c r="C8" t="s">
        <v>54</v>
      </c>
      <c r="D8" s="8">
        <v>42542</v>
      </c>
      <c r="E8">
        <v>32</v>
      </c>
      <c r="F8">
        <v>0</v>
      </c>
    </row>
    <row r="9" spans="1:6" x14ac:dyDescent="0.35">
      <c r="A9">
        <v>1008</v>
      </c>
      <c r="B9" t="s">
        <v>15</v>
      </c>
      <c r="C9" t="s">
        <v>54</v>
      </c>
      <c r="D9" s="8">
        <v>42542</v>
      </c>
      <c r="E9">
        <v>40</v>
      </c>
      <c r="F9">
        <v>0</v>
      </c>
    </row>
    <row r="10" spans="1:6" x14ac:dyDescent="0.35">
      <c r="A10">
        <v>1009</v>
      </c>
      <c r="B10" t="s">
        <v>16</v>
      </c>
      <c r="C10" t="s">
        <v>54</v>
      </c>
      <c r="D10" s="8">
        <v>42542</v>
      </c>
      <c r="E10">
        <v>97</v>
      </c>
      <c r="F10">
        <v>1</v>
      </c>
    </row>
    <row r="11" spans="1:6" x14ac:dyDescent="0.35">
      <c r="A11">
        <v>1010</v>
      </c>
      <c r="B11" t="s">
        <v>17</v>
      </c>
      <c r="C11" t="s">
        <v>54</v>
      </c>
      <c r="D11" s="8">
        <v>42542</v>
      </c>
      <c r="E11">
        <v>1</v>
      </c>
      <c r="F11">
        <v>0</v>
      </c>
    </row>
    <row r="12" spans="1:6" x14ac:dyDescent="0.35">
      <c r="A12">
        <v>1011</v>
      </c>
      <c r="B12" t="s">
        <v>18</v>
      </c>
      <c r="C12" t="s">
        <v>54</v>
      </c>
      <c r="D12" s="8">
        <v>42542</v>
      </c>
      <c r="E12">
        <v>6</v>
      </c>
      <c r="F12">
        <v>0</v>
      </c>
    </row>
    <row r="13" spans="1:6" x14ac:dyDescent="0.35">
      <c r="A13">
        <v>1012</v>
      </c>
      <c r="B13" t="s">
        <v>19</v>
      </c>
      <c r="C13" t="s">
        <v>54</v>
      </c>
      <c r="D13" s="8">
        <v>42542</v>
      </c>
      <c r="E13">
        <v>39</v>
      </c>
      <c r="F13">
        <v>0</v>
      </c>
    </row>
    <row r="14" spans="1:6" x14ac:dyDescent="0.35">
      <c r="A14">
        <v>1013</v>
      </c>
      <c r="B14" t="s">
        <v>20</v>
      </c>
      <c r="C14" t="s">
        <v>54</v>
      </c>
      <c r="D14" s="8">
        <v>42542</v>
      </c>
      <c r="E14">
        <v>68</v>
      </c>
      <c r="F14">
        <v>1</v>
      </c>
    </row>
    <row r="15" spans="1:6" x14ac:dyDescent="0.35">
      <c r="A15">
        <v>1014</v>
      </c>
      <c r="B15" t="s">
        <v>21</v>
      </c>
      <c r="C15" t="s">
        <v>54</v>
      </c>
      <c r="D15" s="8">
        <v>42542</v>
      </c>
      <c r="E15">
        <v>37</v>
      </c>
      <c r="F15">
        <v>0</v>
      </c>
    </row>
    <row r="16" spans="1:6" x14ac:dyDescent="0.35">
      <c r="A16">
        <v>1015</v>
      </c>
      <c r="B16" t="s">
        <v>22</v>
      </c>
      <c r="C16" t="s">
        <v>54</v>
      </c>
      <c r="D16" s="8">
        <v>42542</v>
      </c>
      <c r="E16">
        <v>37</v>
      </c>
      <c r="F16">
        <v>0</v>
      </c>
    </row>
    <row r="17" spans="1:6" x14ac:dyDescent="0.35">
      <c r="A17">
        <v>1016</v>
      </c>
      <c r="B17" t="s">
        <v>23</v>
      </c>
      <c r="C17" t="s">
        <v>54</v>
      </c>
      <c r="D17" s="8">
        <v>42542</v>
      </c>
      <c r="E17">
        <v>90</v>
      </c>
      <c r="F17">
        <v>1</v>
      </c>
    </row>
    <row r="18" spans="1:6" x14ac:dyDescent="0.35">
      <c r="A18">
        <v>1017</v>
      </c>
      <c r="B18" t="s">
        <v>24</v>
      </c>
      <c r="C18" t="s">
        <v>54</v>
      </c>
      <c r="D18" s="8">
        <v>42542</v>
      </c>
      <c r="E18">
        <v>38</v>
      </c>
      <c r="F18">
        <v>0</v>
      </c>
    </row>
    <row r="19" spans="1:6" x14ac:dyDescent="0.35">
      <c r="A19">
        <v>1018</v>
      </c>
      <c r="B19" t="s">
        <v>25</v>
      </c>
      <c r="C19" t="s">
        <v>54</v>
      </c>
      <c r="D19" s="8">
        <v>42542</v>
      </c>
      <c r="E19">
        <v>87</v>
      </c>
      <c r="F19">
        <v>1</v>
      </c>
    </row>
    <row r="20" spans="1:6" x14ac:dyDescent="0.35">
      <c r="A20">
        <v>1019</v>
      </c>
      <c r="B20" t="s">
        <v>26</v>
      </c>
      <c r="C20" t="s">
        <v>54</v>
      </c>
      <c r="D20" s="8">
        <v>42542</v>
      </c>
      <c r="E20">
        <v>45</v>
      </c>
      <c r="F20">
        <v>0</v>
      </c>
    </row>
    <row r="21" spans="1:6" x14ac:dyDescent="0.35">
      <c r="A21">
        <v>1020</v>
      </c>
      <c r="B21" t="s">
        <v>27</v>
      </c>
      <c r="C21" t="s">
        <v>54</v>
      </c>
      <c r="D21" s="8">
        <v>42542</v>
      </c>
      <c r="E21">
        <v>73</v>
      </c>
      <c r="F21">
        <v>1</v>
      </c>
    </row>
    <row r="22" spans="1:6" x14ac:dyDescent="0.35">
      <c r="A22">
        <v>1021</v>
      </c>
      <c r="B22" t="s">
        <v>28</v>
      </c>
      <c r="C22" t="s">
        <v>54</v>
      </c>
      <c r="D22" s="8">
        <v>42542</v>
      </c>
      <c r="E22">
        <v>36</v>
      </c>
      <c r="F22">
        <v>0</v>
      </c>
    </row>
    <row r="23" spans="1:6" x14ac:dyDescent="0.35">
      <c r="A23">
        <v>1022</v>
      </c>
      <c r="B23" t="s">
        <v>29</v>
      </c>
      <c r="C23" t="s">
        <v>54</v>
      </c>
      <c r="D23" s="8">
        <v>42542</v>
      </c>
      <c r="E23">
        <v>35</v>
      </c>
      <c r="F23">
        <v>0</v>
      </c>
    </row>
    <row r="24" spans="1:6" x14ac:dyDescent="0.35">
      <c r="A24">
        <v>1023</v>
      </c>
      <c r="B24" t="s">
        <v>30</v>
      </c>
      <c r="C24" t="s">
        <v>54</v>
      </c>
      <c r="D24" s="8">
        <v>42542</v>
      </c>
      <c r="E24">
        <v>85</v>
      </c>
      <c r="F24">
        <v>1</v>
      </c>
    </row>
    <row r="25" spans="1:6" x14ac:dyDescent="0.35">
      <c r="A25">
        <v>1024</v>
      </c>
      <c r="B25" t="s">
        <v>31</v>
      </c>
      <c r="C25" t="s">
        <v>54</v>
      </c>
      <c r="D25" s="8">
        <v>42542</v>
      </c>
      <c r="E25">
        <v>7</v>
      </c>
      <c r="F25">
        <v>0</v>
      </c>
    </row>
    <row r="26" spans="1:6" x14ac:dyDescent="0.35">
      <c r="A26">
        <v>1025</v>
      </c>
      <c r="B26" t="s">
        <v>32</v>
      </c>
      <c r="C26" t="s">
        <v>54</v>
      </c>
      <c r="D26" s="8">
        <v>42542</v>
      </c>
      <c r="E26">
        <v>67</v>
      </c>
      <c r="F26">
        <v>1</v>
      </c>
    </row>
    <row r="27" spans="1:6" x14ac:dyDescent="0.35">
      <c r="A27">
        <v>1026</v>
      </c>
      <c r="B27" t="s">
        <v>33</v>
      </c>
      <c r="C27" t="s">
        <v>54</v>
      </c>
      <c r="D27" s="8">
        <v>42542</v>
      </c>
      <c r="E27">
        <v>80</v>
      </c>
      <c r="F27">
        <v>1</v>
      </c>
    </row>
    <row r="28" spans="1:6" x14ac:dyDescent="0.35">
      <c r="A28">
        <v>1027</v>
      </c>
      <c r="B28" t="s">
        <v>34</v>
      </c>
      <c r="C28" t="s">
        <v>54</v>
      </c>
      <c r="D28" s="8">
        <v>42542</v>
      </c>
      <c r="E28">
        <v>55</v>
      </c>
      <c r="F28">
        <v>0</v>
      </c>
    </row>
    <row r="29" spans="1:6" x14ac:dyDescent="0.35">
      <c r="A29">
        <v>1028</v>
      </c>
      <c r="B29" t="s">
        <v>35</v>
      </c>
      <c r="C29" t="s">
        <v>54</v>
      </c>
      <c r="D29" s="8">
        <v>42542</v>
      </c>
      <c r="E29">
        <v>83</v>
      </c>
      <c r="F29">
        <v>1</v>
      </c>
    </row>
    <row r="30" spans="1:6" x14ac:dyDescent="0.35">
      <c r="A30">
        <v>1029</v>
      </c>
      <c r="B30" t="s">
        <v>36</v>
      </c>
      <c r="C30" t="s">
        <v>54</v>
      </c>
      <c r="D30" s="8">
        <v>42542</v>
      </c>
      <c r="E30">
        <v>67</v>
      </c>
      <c r="F30">
        <v>1</v>
      </c>
    </row>
    <row r="31" spans="1:6" x14ac:dyDescent="0.35">
      <c r="A31">
        <v>1030</v>
      </c>
      <c r="B31" t="s">
        <v>37</v>
      </c>
      <c r="C31" t="s">
        <v>54</v>
      </c>
      <c r="D31" s="8">
        <v>42542</v>
      </c>
      <c r="E31">
        <v>27</v>
      </c>
      <c r="F31">
        <v>0</v>
      </c>
    </row>
    <row r="32" spans="1:6" x14ac:dyDescent="0.35">
      <c r="A32">
        <v>1031</v>
      </c>
      <c r="B32" t="s">
        <v>38</v>
      </c>
      <c r="C32" t="s">
        <v>54</v>
      </c>
      <c r="D32" s="8">
        <v>42542</v>
      </c>
      <c r="E32">
        <v>94</v>
      </c>
      <c r="F32">
        <v>1</v>
      </c>
    </row>
    <row r="33" spans="1:6" x14ac:dyDescent="0.35">
      <c r="A33">
        <v>1032</v>
      </c>
      <c r="B33" t="s">
        <v>39</v>
      </c>
      <c r="C33" t="s">
        <v>54</v>
      </c>
      <c r="D33" s="8">
        <v>42542</v>
      </c>
      <c r="E33">
        <v>96</v>
      </c>
      <c r="F33">
        <v>1</v>
      </c>
    </row>
    <row r="34" spans="1:6" x14ac:dyDescent="0.35">
      <c r="A34">
        <v>1033</v>
      </c>
      <c r="B34" t="s">
        <v>40</v>
      </c>
      <c r="C34" t="s">
        <v>54</v>
      </c>
      <c r="D34" s="8">
        <v>42542</v>
      </c>
      <c r="E34">
        <v>99</v>
      </c>
      <c r="F34">
        <v>1</v>
      </c>
    </row>
    <row r="35" spans="1:6" x14ac:dyDescent="0.35">
      <c r="A35">
        <v>1034</v>
      </c>
      <c r="B35" t="s">
        <v>41</v>
      </c>
      <c r="C35" t="s">
        <v>54</v>
      </c>
      <c r="D35" s="8">
        <v>42542</v>
      </c>
      <c r="E35">
        <v>64</v>
      </c>
      <c r="F35">
        <v>1</v>
      </c>
    </row>
    <row r="36" spans="1:6" x14ac:dyDescent="0.35">
      <c r="A36">
        <v>1035</v>
      </c>
      <c r="B36" t="s">
        <v>42</v>
      </c>
      <c r="C36" t="s">
        <v>54</v>
      </c>
      <c r="D36" s="8">
        <v>42542</v>
      </c>
      <c r="E36">
        <v>52</v>
      </c>
      <c r="F36">
        <v>0</v>
      </c>
    </row>
    <row r="37" spans="1:6" x14ac:dyDescent="0.35">
      <c r="A37">
        <v>1036</v>
      </c>
      <c r="B37" t="s">
        <v>43</v>
      </c>
      <c r="C37" t="s">
        <v>54</v>
      </c>
      <c r="D37" s="8">
        <v>42542</v>
      </c>
      <c r="E37">
        <v>16</v>
      </c>
      <c r="F37">
        <v>0</v>
      </c>
    </row>
    <row r="38" spans="1:6" x14ac:dyDescent="0.35">
      <c r="A38">
        <v>1037</v>
      </c>
      <c r="B38" t="s">
        <v>44</v>
      </c>
      <c r="C38" t="s">
        <v>54</v>
      </c>
      <c r="D38" s="8">
        <v>42542</v>
      </c>
      <c r="E38">
        <v>34</v>
      </c>
      <c r="F38">
        <v>0</v>
      </c>
    </row>
    <row r="39" spans="1:6" x14ac:dyDescent="0.35">
      <c r="A39">
        <v>1038</v>
      </c>
      <c r="B39" t="s">
        <v>45</v>
      </c>
      <c r="C39" t="s">
        <v>54</v>
      </c>
      <c r="D39" s="8">
        <v>42542</v>
      </c>
      <c r="E39">
        <v>76</v>
      </c>
      <c r="F39">
        <v>1</v>
      </c>
    </row>
    <row r="40" spans="1:6" x14ac:dyDescent="0.35">
      <c r="A40">
        <v>1039</v>
      </c>
      <c r="B40" t="s">
        <v>56</v>
      </c>
      <c r="C40" t="s">
        <v>54</v>
      </c>
      <c r="D40" s="8">
        <v>42542</v>
      </c>
      <c r="E40">
        <v>96</v>
      </c>
      <c r="F40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4-C560-4125-B259-D22672293B40}">
  <dimension ref="A1:F40"/>
  <sheetViews>
    <sheetView topLeftCell="C1" workbookViewId="0">
      <selection activeCell="I13" activeCellId="1" sqref="E11 I13"/>
    </sheetView>
  </sheetViews>
  <sheetFormatPr defaultRowHeight="14.5" x14ac:dyDescent="0.35"/>
  <cols>
    <col min="1" max="1" width="11.26953125" customWidth="1"/>
    <col min="2" max="2" width="19" customWidth="1"/>
    <col min="3" max="3" width="14.08984375" customWidth="1"/>
    <col min="4" max="4" width="13" customWidth="1"/>
    <col min="5" max="5" width="13.08984375" customWidth="1"/>
    <col min="6" max="6" width="19.8164062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7" t="s">
        <v>3</v>
      </c>
      <c r="E1" s="9" t="s">
        <v>4</v>
      </c>
      <c r="F1" s="10" t="s">
        <v>5</v>
      </c>
    </row>
    <row r="2" spans="1:6" x14ac:dyDescent="0.35">
      <c r="A2" s="3">
        <v>1001</v>
      </c>
      <c r="B2" t="s">
        <v>6</v>
      </c>
      <c r="C2" t="s">
        <v>54</v>
      </c>
      <c r="D2" s="8" t="s">
        <v>55</v>
      </c>
      <c r="E2" s="3">
        <v>70</v>
      </c>
      <c r="F2" s="3">
        <f>IF(E2&gt;=60,1,0)</f>
        <v>1</v>
      </c>
    </row>
    <row r="3" spans="1:6" x14ac:dyDescent="0.35">
      <c r="A3" s="3">
        <v>1002</v>
      </c>
      <c r="B3" t="s">
        <v>9</v>
      </c>
      <c r="C3" t="s">
        <v>54</v>
      </c>
      <c r="D3" s="8" t="s">
        <v>55</v>
      </c>
      <c r="E3" s="3">
        <v>37</v>
      </c>
      <c r="F3" s="3">
        <f t="shared" ref="F3:F40" si="0">IF(E3&gt;=60,1,0)</f>
        <v>0</v>
      </c>
    </row>
    <row r="4" spans="1:6" x14ac:dyDescent="0.35">
      <c r="A4" s="3">
        <v>1003</v>
      </c>
      <c r="B4" t="s">
        <v>10</v>
      </c>
      <c r="C4" t="s">
        <v>54</v>
      </c>
      <c r="D4" s="8" t="s">
        <v>55</v>
      </c>
      <c r="E4" s="3">
        <v>68</v>
      </c>
      <c r="F4" s="3">
        <f t="shared" si="0"/>
        <v>1</v>
      </c>
    </row>
    <row r="5" spans="1:6" x14ac:dyDescent="0.35">
      <c r="A5" s="3">
        <v>1004</v>
      </c>
      <c r="B5" t="s">
        <v>11</v>
      </c>
      <c r="C5" t="s">
        <v>54</v>
      </c>
      <c r="D5" s="8" t="s">
        <v>55</v>
      </c>
      <c r="E5" s="3">
        <v>60</v>
      </c>
      <c r="F5" s="3">
        <f t="shared" si="0"/>
        <v>1</v>
      </c>
    </row>
    <row r="6" spans="1:6" x14ac:dyDescent="0.35">
      <c r="A6" s="3">
        <v>1005</v>
      </c>
      <c r="B6" t="s">
        <v>12</v>
      </c>
      <c r="C6" t="s">
        <v>54</v>
      </c>
      <c r="D6" s="8" t="s">
        <v>55</v>
      </c>
      <c r="E6" s="3">
        <v>98</v>
      </c>
      <c r="F6" s="3">
        <f t="shared" si="0"/>
        <v>1</v>
      </c>
    </row>
    <row r="7" spans="1:6" x14ac:dyDescent="0.35">
      <c r="A7" s="3">
        <v>1006</v>
      </c>
      <c r="B7" t="s">
        <v>13</v>
      </c>
      <c r="C7" t="s">
        <v>54</v>
      </c>
      <c r="D7" s="8" t="s">
        <v>55</v>
      </c>
      <c r="E7" s="3">
        <v>20</v>
      </c>
      <c r="F7" s="3">
        <f t="shared" si="0"/>
        <v>0</v>
      </c>
    </row>
    <row r="8" spans="1:6" x14ac:dyDescent="0.35">
      <c r="A8" s="3">
        <v>1007</v>
      </c>
      <c r="B8" t="s">
        <v>14</v>
      </c>
      <c r="C8" t="s">
        <v>54</v>
      </c>
      <c r="D8" s="8" t="s">
        <v>55</v>
      </c>
      <c r="E8" s="3">
        <v>32</v>
      </c>
      <c r="F8" s="3">
        <f t="shared" si="0"/>
        <v>0</v>
      </c>
    </row>
    <row r="9" spans="1:6" x14ac:dyDescent="0.35">
      <c r="A9" s="3">
        <v>1008</v>
      </c>
      <c r="B9" t="s">
        <v>15</v>
      </c>
      <c r="C9" t="s">
        <v>54</v>
      </c>
      <c r="D9" s="8" t="s">
        <v>55</v>
      </c>
      <c r="E9" s="3">
        <v>40</v>
      </c>
      <c r="F9" s="3">
        <f t="shared" si="0"/>
        <v>0</v>
      </c>
    </row>
    <row r="10" spans="1:6" x14ac:dyDescent="0.35">
      <c r="A10" s="3">
        <v>1009</v>
      </c>
      <c r="B10" t="s">
        <v>16</v>
      </c>
      <c r="C10" t="s">
        <v>54</v>
      </c>
      <c r="D10" s="8" t="s">
        <v>55</v>
      </c>
      <c r="E10" s="3">
        <v>97</v>
      </c>
      <c r="F10" s="3">
        <f t="shared" si="0"/>
        <v>1</v>
      </c>
    </row>
    <row r="11" spans="1:6" x14ac:dyDescent="0.35">
      <c r="A11" s="3">
        <v>1010</v>
      </c>
      <c r="B11" t="s">
        <v>17</v>
      </c>
      <c r="C11" t="s">
        <v>54</v>
      </c>
      <c r="D11" s="8" t="s">
        <v>55</v>
      </c>
      <c r="E11" s="3">
        <v>1</v>
      </c>
      <c r="F11" s="3">
        <f t="shared" si="0"/>
        <v>0</v>
      </c>
    </row>
    <row r="12" spans="1:6" x14ac:dyDescent="0.35">
      <c r="A12" s="3">
        <v>1011</v>
      </c>
      <c r="B12" t="s">
        <v>18</v>
      </c>
      <c r="C12" t="s">
        <v>54</v>
      </c>
      <c r="D12" s="8" t="s">
        <v>55</v>
      </c>
      <c r="E12" s="3">
        <v>6</v>
      </c>
      <c r="F12" s="3">
        <f t="shared" si="0"/>
        <v>0</v>
      </c>
    </row>
    <row r="13" spans="1:6" x14ac:dyDescent="0.35">
      <c r="A13" s="3">
        <v>1012</v>
      </c>
      <c r="B13" t="s">
        <v>19</v>
      </c>
      <c r="C13" t="s">
        <v>54</v>
      </c>
      <c r="D13" s="8" t="s">
        <v>55</v>
      </c>
      <c r="E13" s="3">
        <v>39</v>
      </c>
      <c r="F13" s="3">
        <f t="shared" si="0"/>
        <v>0</v>
      </c>
    </row>
    <row r="14" spans="1:6" x14ac:dyDescent="0.35">
      <c r="A14" s="3">
        <v>1013</v>
      </c>
      <c r="B14" t="s">
        <v>20</v>
      </c>
      <c r="C14" t="s">
        <v>54</v>
      </c>
      <c r="D14" s="8" t="s">
        <v>55</v>
      </c>
      <c r="E14" s="3">
        <v>68</v>
      </c>
      <c r="F14" s="3">
        <f t="shared" si="0"/>
        <v>1</v>
      </c>
    </row>
    <row r="15" spans="1:6" x14ac:dyDescent="0.35">
      <c r="A15" s="3">
        <v>1014</v>
      </c>
      <c r="B15" t="s">
        <v>21</v>
      </c>
      <c r="C15" t="s">
        <v>54</v>
      </c>
      <c r="D15" s="8" t="s">
        <v>55</v>
      </c>
      <c r="E15" s="3">
        <v>37</v>
      </c>
      <c r="F15" s="3">
        <f t="shared" si="0"/>
        <v>0</v>
      </c>
    </row>
    <row r="16" spans="1:6" x14ac:dyDescent="0.35">
      <c r="A16" s="3">
        <v>1015</v>
      </c>
      <c r="B16" t="s">
        <v>22</v>
      </c>
      <c r="C16" t="s">
        <v>54</v>
      </c>
      <c r="D16" s="8" t="s">
        <v>55</v>
      </c>
      <c r="E16" s="3">
        <v>37</v>
      </c>
      <c r="F16" s="3">
        <f t="shared" si="0"/>
        <v>0</v>
      </c>
    </row>
    <row r="17" spans="1:6" x14ac:dyDescent="0.35">
      <c r="A17" s="3">
        <v>1016</v>
      </c>
      <c r="B17" t="s">
        <v>23</v>
      </c>
      <c r="C17" t="s">
        <v>54</v>
      </c>
      <c r="D17" s="8" t="s">
        <v>55</v>
      </c>
      <c r="E17" s="3">
        <v>90</v>
      </c>
      <c r="F17" s="3">
        <f t="shared" si="0"/>
        <v>1</v>
      </c>
    </row>
    <row r="18" spans="1:6" x14ac:dyDescent="0.35">
      <c r="A18" s="3">
        <v>1017</v>
      </c>
      <c r="B18" t="s">
        <v>24</v>
      </c>
      <c r="C18" t="s">
        <v>54</v>
      </c>
      <c r="D18" s="8" t="s">
        <v>55</v>
      </c>
      <c r="E18" s="3">
        <v>38</v>
      </c>
      <c r="F18" s="3">
        <f t="shared" si="0"/>
        <v>0</v>
      </c>
    </row>
    <row r="19" spans="1:6" x14ac:dyDescent="0.35">
      <c r="A19" s="3">
        <v>1018</v>
      </c>
      <c r="B19" t="s">
        <v>25</v>
      </c>
      <c r="C19" t="s">
        <v>54</v>
      </c>
      <c r="D19" s="8" t="s">
        <v>55</v>
      </c>
      <c r="E19" s="3">
        <v>87</v>
      </c>
      <c r="F19" s="3">
        <f t="shared" si="0"/>
        <v>1</v>
      </c>
    </row>
    <row r="20" spans="1:6" x14ac:dyDescent="0.35">
      <c r="A20" s="3">
        <v>1019</v>
      </c>
      <c r="B20" t="s">
        <v>26</v>
      </c>
      <c r="C20" t="s">
        <v>54</v>
      </c>
      <c r="D20" s="8" t="s">
        <v>55</v>
      </c>
      <c r="E20" s="3">
        <v>45</v>
      </c>
      <c r="F20" s="3">
        <f t="shared" si="0"/>
        <v>0</v>
      </c>
    </row>
    <row r="21" spans="1:6" x14ac:dyDescent="0.35">
      <c r="A21" s="3">
        <v>1020</v>
      </c>
      <c r="B21" t="s">
        <v>27</v>
      </c>
      <c r="C21" t="s">
        <v>54</v>
      </c>
      <c r="D21" s="8" t="s">
        <v>55</v>
      </c>
      <c r="E21" s="3">
        <v>73</v>
      </c>
      <c r="F21" s="3">
        <f t="shared" si="0"/>
        <v>1</v>
      </c>
    </row>
    <row r="22" spans="1:6" x14ac:dyDescent="0.35">
      <c r="A22" s="3">
        <v>1021</v>
      </c>
      <c r="B22" t="s">
        <v>28</v>
      </c>
      <c r="C22" t="s">
        <v>54</v>
      </c>
      <c r="D22" s="8" t="s">
        <v>55</v>
      </c>
      <c r="E22" s="3">
        <v>36</v>
      </c>
      <c r="F22" s="3">
        <f t="shared" si="0"/>
        <v>0</v>
      </c>
    </row>
    <row r="23" spans="1:6" x14ac:dyDescent="0.35">
      <c r="A23" s="3">
        <v>1022</v>
      </c>
      <c r="B23" t="s">
        <v>29</v>
      </c>
      <c r="C23" t="s">
        <v>54</v>
      </c>
      <c r="D23" s="8" t="s">
        <v>55</v>
      </c>
      <c r="E23" s="3">
        <v>35</v>
      </c>
      <c r="F23" s="3">
        <f t="shared" si="0"/>
        <v>0</v>
      </c>
    </row>
    <row r="24" spans="1:6" x14ac:dyDescent="0.35">
      <c r="A24" s="3">
        <v>1023</v>
      </c>
      <c r="B24" t="s">
        <v>30</v>
      </c>
      <c r="C24" t="s">
        <v>54</v>
      </c>
      <c r="D24" s="8" t="s">
        <v>55</v>
      </c>
      <c r="E24" s="3">
        <v>85</v>
      </c>
      <c r="F24" s="3">
        <f t="shared" si="0"/>
        <v>1</v>
      </c>
    </row>
    <row r="25" spans="1:6" x14ac:dyDescent="0.35">
      <c r="A25" s="3">
        <v>1024</v>
      </c>
      <c r="B25" t="s">
        <v>31</v>
      </c>
      <c r="C25" t="s">
        <v>54</v>
      </c>
      <c r="D25" s="8" t="s">
        <v>55</v>
      </c>
      <c r="E25" s="3">
        <v>7</v>
      </c>
      <c r="F25" s="3">
        <f t="shared" si="0"/>
        <v>0</v>
      </c>
    </row>
    <row r="26" spans="1:6" x14ac:dyDescent="0.35">
      <c r="A26" s="3">
        <v>1025</v>
      </c>
      <c r="B26" t="s">
        <v>32</v>
      </c>
      <c r="C26" t="s">
        <v>54</v>
      </c>
      <c r="D26" s="8" t="s">
        <v>55</v>
      </c>
      <c r="E26" s="3">
        <v>67</v>
      </c>
      <c r="F26" s="3">
        <f t="shared" si="0"/>
        <v>1</v>
      </c>
    </row>
    <row r="27" spans="1:6" x14ac:dyDescent="0.35">
      <c r="A27" s="3">
        <v>1026</v>
      </c>
      <c r="B27" t="s">
        <v>33</v>
      </c>
      <c r="C27" t="s">
        <v>54</v>
      </c>
      <c r="D27" s="8" t="s">
        <v>55</v>
      </c>
      <c r="E27" s="3">
        <v>80</v>
      </c>
      <c r="F27" s="3">
        <f t="shared" si="0"/>
        <v>1</v>
      </c>
    </row>
    <row r="28" spans="1:6" x14ac:dyDescent="0.35">
      <c r="A28" s="3">
        <v>1027</v>
      </c>
      <c r="B28" t="s">
        <v>34</v>
      </c>
      <c r="C28" t="s">
        <v>54</v>
      </c>
      <c r="D28" s="8" t="s">
        <v>55</v>
      </c>
      <c r="E28" s="3">
        <v>55</v>
      </c>
      <c r="F28" s="3">
        <f t="shared" si="0"/>
        <v>0</v>
      </c>
    </row>
    <row r="29" spans="1:6" x14ac:dyDescent="0.35">
      <c r="A29" s="3">
        <v>1028</v>
      </c>
      <c r="B29" t="s">
        <v>35</v>
      </c>
      <c r="C29" t="s">
        <v>54</v>
      </c>
      <c r="D29" s="8" t="s">
        <v>55</v>
      </c>
      <c r="E29" s="3">
        <v>83</v>
      </c>
      <c r="F29" s="3">
        <f t="shared" si="0"/>
        <v>1</v>
      </c>
    </row>
    <row r="30" spans="1:6" x14ac:dyDescent="0.35">
      <c r="A30" s="3">
        <v>1029</v>
      </c>
      <c r="B30" t="s">
        <v>36</v>
      </c>
      <c r="C30" t="s">
        <v>54</v>
      </c>
      <c r="D30" s="8" t="s">
        <v>55</v>
      </c>
      <c r="E30" s="3">
        <v>67</v>
      </c>
      <c r="F30" s="3">
        <f t="shared" si="0"/>
        <v>1</v>
      </c>
    </row>
    <row r="31" spans="1:6" x14ac:dyDescent="0.35">
      <c r="A31" s="3">
        <v>1030</v>
      </c>
      <c r="B31" t="s">
        <v>37</v>
      </c>
      <c r="C31" t="s">
        <v>54</v>
      </c>
      <c r="D31" s="8" t="s">
        <v>55</v>
      </c>
      <c r="E31" s="3">
        <v>27</v>
      </c>
      <c r="F31" s="3">
        <f t="shared" si="0"/>
        <v>0</v>
      </c>
    </row>
    <row r="32" spans="1:6" x14ac:dyDescent="0.35">
      <c r="A32" s="3">
        <v>1031</v>
      </c>
      <c r="B32" t="s">
        <v>38</v>
      </c>
      <c r="C32" t="s">
        <v>54</v>
      </c>
      <c r="D32" s="8" t="s">
        <v>55</v>
      </c>
      <c r="E32" s="3">
        <v>94</v>
      </c>
      <c r="F32" s="3">
        <f t="shared" si="0"/>
        <v>1</v>
      </c>
    </row>
    <row r="33" spans="1:6" x14ac:dyDescent="0.35">
      <c r="A33" s="3">
        <v>1032</v>
      </c>
      <c r="B33" t="s">
        <v>39</v>
      </c>
      <c r="C33" t="s">
        <v>54</v>
      </c>
      <c r="D33" s="8" t="s">
        <v>55</v>
      </c>
      <c r="E33" s="3">
        <v>96</v>
      </c>
      <c r="F33" s="3">
        <f t="shared" si="0"/>
        <v>1</v>
      </c>
    </row>
    <row r="34" spans="1:6" x14ac:dyDescent="0.35">
      <c r="A34" s="3">
        <v>1033</v>
      </c>
      <c r="B34" t="s">
        <v>40</v>
      </c>
      <c r="C34" t="s">
        <v>54</v>
      </c>
      <c r="D34" s="8" t="s">
        <v>55</v>
      </c>
      <c r="E34" s="3">
        <v>99</v>
      </c>
      <c r="F34" s="3">
        <f t="shared" si="0"/>
        <v>1</v>
      </c>
    </row>
    <row r="35" spans="1:6" x14ac:dyDescent="0.35">
      <c r="A35" s="3">
        <v>1034</v>
      </c>
      <c r="B35" t="s">
        <v>41</v>
      </c>
      <c r="C35" t="s">
        <v>54</v>
      </c>
      <c r="D35" s="8" t="s">
        <v>55</v>
      </c>
      <c r="E35" s="3">
        <v>64</v>
      </c>
      <c r="F35" s="3">
        <f t="shared" si="0"/>
        <v>1</v>
      </c>
    </row>
    <row r="36" spans="1:6" x14ac:dyDescent="0.35">
      <c r="A36" s="3">
        <v>1035</v>
      </c>
      <c r="B36" t="s">
        <v>42</v>
      </c>
      <c r="C36" t="s">
        <v>54</v>
      </c>
      <c r="D36" s="8" t="s">
        <v>55</v>
      </c>
      <c r="E36" s="3">
        <v>52</v>
      </c>
      <c r="F36" s="3">
        <f t="shared" si="0"/>
        <v>0</v>
      </c>
    </row>
    <row r="37" spans="1:6" x14ac:dyDescent="0.35">
      <c r="A37" s="3">
        <v>1036</v>
      </c>
      <c r="B37" t="s">
        <v>43</v>
      </c>
      <c r="C37" t="s">
        <v>54</v>
      </c>
      <c r="D37" s="8" t="s">
        <v>55</v>
      </c>
      <c r="E37" s="3">
        <v>16</v>
      </c>
      <c r="F37" s="3">
        <f t="shared" si="0"/>
        <v>0</v>
      </c>
    </row>
    <row r="38" spans="1:6" x14ac:dyDescent="0.35">
      <c r="A38" s="3">
        <v>1037</v>
      </c>
      <c r="B38" t="s">
        <v>44</v>
      </c>
      <c r="C38" t="s">
        <v>54</v>
      </c>
      <c r="D38" s="8" t="s">
        <v>55</v>
      </c>
      <c r="E38" s="3">
        <v>34</v>
      </c>
      <c r="F38" s="3">
        <f t="shared" si="0"/>
        <v>0</v>
      </c>
    </row>
    <row r="39" spans="1:6" x14ac:dyDescent="0.35">
      <c r="A39" s="3">
        <v>1038</v>
      </c>
      <c r="B39" t="s">
        <v>45</v>
      </c>
      <c r="C39" t="s">
        <v>54</v>
      </c>
      <c r="D39" s="8" t="s">
        <v>55</v>
      </c>
      <c r="E39" s="3">
        <v>76</v>
      </c>
      <c r="F39" s="3">
        <f t="shared" si="0"/>
        <v>1</v>
      </c>
    </row>
    <row r="40" spans="1:6" x14ac:dyDescent="0.35">
      <c r="A40" s="3">
        <v>1039</v>
      </c>
      <c r="B40" t="s">
        <v>56</v>
      </c>
      <c r="C40" t="s">
        <v>54</v>
      </c>
      <c r="D40" s="8" t="s">
        <v>55</v>
      </c>
      <c r="E40" s="3">
        <v>96</v>
      </c>
      <c r="F40" s="3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898-BD4A-4D69-AD11-16BF270C0729}">
  <dimension ref="A1:S44"/>
  <sheetViews>
    <sheetView zoomScale="81" zoomScaleNormal="81" workbookViewId="0">
      <selection activeCell="S45" sqref="S45"/>
    </sheetView>
  </sheetViews>
  <sheetFormatPr defaultRowHeight="14.5" x14ac:dyDescent="0.35"/>
  <cols>
    <col min="1" max="1" width="21.54296875" customWidth="1"/>
    <col min="2" max="2" width="11.36328125" customWidth="1"/>
    <col min="4" max="4" width="9" customWidth="1"/>
    <col min="5" max="5" width="10.1796875" customWidth="1"/>
    <col min="6" max="6" width="18.36328125" customWidth="1"/>
    <col min="7" max="7" width="18.7265625" customWidth="1"/>
    <col min="8" max="8" width="10.81640625" customWidth="1"/>
    <col min="9" max="9" width="10" customWidth="1"/>
    <col min="10" max="10" width="17.26953125" customWidth="1"/>
    <col min="11" max="11" width="15" customWidth="1"/>
    <col min="14" max="14" width="13.81640625" customWidth="1"/>
    <col min="16" max="16" width="12" customWidth="1"/>
  </cols>
  <sheetData>
    <row r="1" spans="1:19" x14ac:dyDescent="0.35">
      <c r="A1" s="11" t="s">
        <v>71</v>
      </c>
      <c r="B1" s="3" t="s">
        <v>0</v>
      </c>
      <c r="C1" s="3" t="s">
        <v>57</v>
      </c>
      <c r="D1" s="3" t="s">
        <v>58</v>
      </c>
      <c r="E1" s="3" t="s">
        <v>59</v>
      </c>
      <c r="F1" s="3" t="s">
        <v>60</v>
      </c>
      <c r="G1" s="6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5" t="s">
        <v>69</v>
      </c>
      <c r="P1" s="3" t="s">
        <v>70</v>
      </c>
      <c r="Q1" s="3" t="s">
        <v>93</v>
      </c>
      <c r="R1" s="3" t="s">
        <v>94</v>
      </c>
      <c r="S1" s="3" t="s">
        <v>95</v>
      </c>
    </row>
    <row r="2" spans="1:19" x14ac:dyDescent="0.35">
      <c r="A2" t="s">
        <v>6</v>
      </c>
      <c r="B2" s="3">
        <v>1001</v>
      </c>
      <c r="C2" s="3">
        <v>17</v>
      </c>
      <c r="D2" s="3">
        <v>1</v>
      </c>
      <c r="E2" s="3">
        <v>0</v>
      </c>
      <c r="F2" s="3">
        <v>2</v>
      </c>
      <c r="G2" s="5">
        <v>19.833722807854699</v>
      </c>
      <c r="H2" s="3">
        <v>7</v>
      </c>
      <c r="I2" s="3">
        <v>1</v>
      </c>
      <c r="J2" s="3">
        <v>2</v>
      </c>
      <c r="K2" s="3">
        <v>0</v>
      </c>
      <c r="L2" s="3">
        <v>0</v>
      </c>
      <c r="M2" s="3">
        <v>1</v>
      </c>
      <c r="N2" s="3">
        <v>0</v>
      </c>
      <c r="O2" s="5">
        <v>2.9291955916676802</v>
      </c>
      <c r="P2" s="3">
        <v>2</v>
      </c>
      <c r="Q2" s="3" t="str">
        <f t="shared" ref="Q2:Q40" si="0">IF(AND(G2&gt;=15,H2&lt;=10),"Yes","No")</f>
        <v>Yes</v>
      </c>
      <c r="R2" s="3" t="str">
        <f t="shared" ref="R2:R40" si="1">IF(O2&gt;=2.5,"High","Low")</f>
        <v>High</v>
      </c>
      <c r="S2" s="3" t="str">
        <f>IF(AND(Q2="Yes",R2="High"),"Strong","Weak")</f>
        <v>Strong</v>
      </c>
    </row>
    <row r="3" spans="1:19" x14ac:dyDescent="0.35">
      <c r="A3" t="s">
        <v>9</v>
      </c>
      <c r="B3" s="3">
        <v>1002</v>
      </c>
      <c r="C3" s="3">
        <v>18</v>
      </c>
      <c r="D3" s="3">
        <v>0</v>
      </c>
      <c r="E3" s="3">
        <v>0</v>
      </c>
      <c r="F3" s="3">
        <v>1</v>
      </c>
      <c r="G3" s="5">
        <v>15.4087560558467</v>
      </c>
      <c r="H3" s="3">
        <v>0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5">
        <v>3.0429148334363698</v>
      </c>
      <c r="P3" s="3">
        <v>1</v>
      </c>
      <c r="Q3" s="3" t="str">
        <f t="shared" si="0"/>
        <v>Yes</v>
      </c>
      <c r="R3" s="3" t="str">
        <f t="shared" si="1"/>
        <v>High</v>
      </c>
      <c r="S3" s="3" t="str">
        <f t="shared" ref="S3:S40" si="2">IF(AND(Q2="Yes",R2="High"),"Strong","Weak")</f>
        <v>Strong</v>
      </c>
    </row>
    <row r="4" spans="1:19" x14ac:dyDescent="0.35">
      <c r="A4" t="s">
        <v>10</v>
      </c>
      <c r="B4" s="3">
        <v>1003</v>
      </c>
      <c r="C4" s="3">
        <v>15</v>
      </c>
      <c r="D4" s="3">
        <v>0</v>
      </c>
      <c r="E4" s="3">
        <v>2</v>
      </c>
      <c r="F4" s="3">
        <v>3</v>
      </c>
      <c r="G4" s="5">
        <v>4.2105697688122596</v>
      </c>
      <c r="H4" s="3">
        <v>26</v>
      </c>
      <c r="I4" s="3">
        <v>0</v>
      </c>
      <c r="J4" s="3">
        <v>2</v>
      </c>
      <c r="K4" s="3">
        <v>0</v>
      </c>
      <c r="L4" s="3">
        <v>0</v>
      </c>
      <c r="M4" s="3">
        <v>0</v>
      </c>
      <c r="N4" s="3">
        <v>0</v>
      </c>
      <c r="O4" s="5">
        <v>0.112602254466181</v>
      </c>
      <c r="P4" s="3">
        <v>4</v>
      </c>
      <c r="Q4" s="3" t="str">
        <f t="shared" si="0"/>
        <v>No</v>
      </c>
      <c r="R4" s="3" t="str">
        <f>IF(O4&gt;=2.5,"High","Low")</f>
        <v>Low</v>
      </c>
      <c r="S4" s="3" t="str">
        <f>IF(AND(Q2="Yes",R2="High"),"Strong","Weak")</f>
        <v>Strong</v>
      </c>
    </row>
    <row r="5" spans="1:19" x14ac:dyDescent="0.35">
      <c r="A5" t="s">
        <v>11</v>
      </c>
      <c r="B5" s="3">
        <v>1004</v>
      </c>
      <c r="C5" s="3">
        <v>17</v>
      </c>
      <c r="D5" s="3">
        <v>1</v>
      </c>
      <c r="E5" s="3">
        <v>0</v>
      </c>
      <c r="F5" s="3">
        <v>3</v>
      </c>
      <c r="G5" s="5">
        <v>10.028829473958201</v>
      </c>
      <c r="H5" s="3">
        <v>14</v>
      </c>
      <c r="I5" s="3">
        <v>0</v>
      </c>
      <c r="J5" s="3">
        <v>3</v>
      </c>
      <c r="K5" s="3">
        <v>1</v>
      </c>
      <c r="L5" s="3">
        <v>0</v>
      </c>
      <c r="M5" s="3">
        <v>0</v>
      </c>
      <c r="N5" s="3">
        <v>0</v>
      </c>
      <c r="O5" s="5">
        <v>2.05421813970294</v>
      </c>
      <c r="P5" s="3">
        <v>3</v>
      </c>
      <c r="Q5" s="3" t="str">
        <f t="shared" si="0"/>
        <v>No</v>
      </c>
      <c r="R5" s="3" t="str">
        <f t="shared" si="1"/>
        <v>Low</v>
      </c>
      <c r="S5" s="3" t="str">
        <f t="shared" si="2"/>
        <v>Weak</v>
      </c>
    </row>
    <row r="6" spans="1:19" x14ac:dyDescent="0.35">
      <c r="A6" t="s">
        <v>12</v>
      </c>
      <c r="B6" s="3">
        <v>1005</v>
      </c>
      <c r="C6" s="3">
        <v>17</v>
      </c>
      <c r="D6" s="3">
        <v>1</v>
      </c>
      <c r="E6" s="3">
        <v>0</v>
      </c>
      <c r="F6" s="3">
        <v>2</v>
      </c>
      <c r="G6" s="5">
        <v>4.6724952729713296</v>
      </c>
      <c r="H6" s="3">
        <v>17</v>
      </c>
      <c r="I6" s="3">
        <v>1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5">
        <v>1.28806118179538</v>
      </c>
      <c r="P6" s="3">
        <v>4</v>
      </c>
      <c r="Q6" s="3" t="str">
        <f t="shared" si="0"/>
        <v>No</v>
      </c>
      <c r="R6" s="3" t="str">
        <f t="shared" si="1"/>
        <v>Low</v>
      </c>
      <c r="S6" s="3" t="str">
        <f t="shared" si="2"/>
        <v>Weak</v>
      </c>
    </row>
    <row r="7" spans="1:19" x14ac:dyDescent="0.35">
      <c r="A7" t="s">
        <v>13</v>
      </c>
      <c r="B7" s="3">
        <v>1006</v>
      </c>
      <c r="C7" s="3">
        <v>18</v>
      </c>
      <c r="D7" s="3">
        <v>0</v>
      </c>
      <c r="E7" s="3">
        <v>0</v>
      </c>
      <c r="F7" s="3">
        <v>1</v>
      </c>
      <c r="G7" s="5">
        <v>8.1912185452501802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5">
        <v>3.0841836144863901</v>
      </c>
      <c r="P7" s="3">
        <v>1</v>
      </c>
      <c r="Q7" s="3" t="str">
        <f t="shared" si="0"/>
        <v>No</v>
      </c>
      <c r="R7" s="3" t="str">
        <f t="shared" si="1"/>
        <v>High</v>
      </c>
      <c r="S7" s="3" t="str">
        <f t="shared" si="2"/>
        <v>Weak</v>
      </c>
    </row>
    <row r="8" spans="1:19" x14ac:dyDescent="0.35">
      <c r="A8" t="s">
        <v>14</v>
      </c>
      <c r="B8" s="3">
        <v>1007</v>
      </c>
      <c r="C8" s="3">
        <v>15</v>
      </c>
      <c r="D8" s="3">
        <v>0</v>
      </c>
      <c r="E8" s="3">
        <v>1</v>
      </c>
      <c r="F8" s="3">
        <v>1</v>
      </c>
      <c r="G8" s="5">
        <v>15.601680474699201</v>
      </c>
      <c r="H8" s="3">
        <v>10</v>
      </c>
      <c r="I8" s="3">
        <v>0</v>
      </c>
      <c r="J8" s="3">
        <v>3</v>
      </c>
      <c r="K8" s="3">
        <v>0</v>
      </c>
      <c r="L8" s="3">
        <v>1</v>
      </c>
      <c r="M8" s="3">
        <v>0</v>
      </c>
      <c r="N8" s="3">
        <v>0</v>
      </c>
      <c r="O8" s="5">
        <v>2.7482374148915798</v>
      </c>
      <c r="P8" s="3">
        <v>2</v>
      </c>
      <c r="Q8" s="3" t="str">
        <f t="shared" si="0"/>
        <v>Yes</v>
      </c>
      <c r="R8" s="3" t="str">
        <f t="shared" si="1"/>
        <v>High</v>
      </c>
      <c r="S8" s="3" t="str">
        <f t="shared" si="2"/>
        <v>Weak</v>
      </c>
    </row>
    <row r="9" spans="1:19" x14ac:dyDescent="0.35">
      <c r="A9" t="s">
        <v>15</v>
      </c>
      <c r="B9" s="3">
        <v>1008</v>
      </c>
      <c r="C9" s="3">
        <v>15</v>
      </c>
      <c r="D9" s="3">
        <v>1</v>
      </c>
      <c r="E9" s="3">
        <v>1</v>
      </c>
      <c r="F9" s="3">
        <v>4</v>
      </c>
      <c r="G9" s="5">
        <v>15.424496305808001</v>
      </c>
      <c r="H9" s="3">
        <v>22</v>
      </c>
      <c r="I9" s="3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5">
        <v>1.36014271231646</v>
      </c>
      <c r="P9" s="3">
        <v>4</v>
      </c>
      <c r="Q9" s="3" t="str">
        <f t="shared" si="0"/>
        <v>No</v>
      </c>
      <c r="R9" s="3" t="str">
        <f t="shared" si="1"/>
        <v>Low</v>
      </c>
      <c r="S9" s="3" t="str">
        <f t="shared" si="2"/>
        <v>Strong</v>
      </c>
    </row>
    <row r="10" spans="1:19" x14ac:dyDescent="0.35">
      <c r="A10" t="s">
        <v>16</v>
      </c>
      <c r="B10" s="3">
        <v>1009</v>
      </c>
      <c r="C10" s="3">
        <v>17</v>
      </c>
      <c r="D10" s="3">
        <v>0</v>
      </c>
      <c r="E10" s="3">
        <v>0</v>
      </c>
      <c r="F10" s="3">
        <v>0</v>
      </c>
      <c r="G10" s="5">
        <v>4.5620075580477</v>
      </c>
      <c r="H10" s="3">
        <v>1</v>
      </c>
      <c r="I10" s="3">
        <v>0</v>
      </c>
      <c r="J10" s="3">
        <v>2</v>
      </c>
      <c r="K10" s="3">
        <v>0</v>
      </c>
      <c r="L10" s="3">
        <v>1</v>
      </c>
      <c r="M10" s="3">
        <v>0</v>
      </c>
      <c r="N10" s="3">
        <v>1</v>
      </c>
      <c r="O10" s="5">
        <v>2.8968191895135602</v>
      </c>
      <c r="P10" s="3">
        <v>2</v>
      </c>
      <c r="Q10" s="3" t="str">
        <f t="shared" si="0"/>
        <v>No</v>
      </c>
      <c r="R10" s="3" t="str">
        <f t="shared" si="1"/>
        <v>High</v>
      </c>
      <c r="S10" s="3" t="str">
        <f t="shared" si="2"/>
        <v>Weak</v>
      </c>
    </row>
    <row r="11" spans="1:19" x14ac:dyDescent="0.35">
      <c r="A11" t="s">
        <v>17</v>
      </c>
      <c r="B11" s="3">
        <v>1010</v>
      </c>
      <c r="C11" s="3">
        <v>16</v>
      </c>
      <c r="D11" s="3">
        <v>1</v>
      </c>
      <c r="E11" s="3">
        <v>0</v>
      </c>
      <c r="F11" s="3">
        <v>1</v>
      </c>
      <c r="G11" s="5">
        <v>18.444466363097199</v>
      </c>
      <c r="H11" s="3">
        <v>0</v>
      </c>
      <c r="I11" s="3">
        <v>0</v>
      </c>
      <c r="J11" s="3">
        <v>3</v>
      </c>
      <c r="K11" s="3">
        <v>1</v>
      </c>
      <c r="L11" s="3">
        <v>0</v>
      </c>
      <c r="M11" s="3">
        <v>0</v>
      </c>
      <c r="N11" s="3">
        <v>0</v>
      </c>
      <c r="O11" s="5">
        <v>3.5734742103297599</v>
      </c>
      <c r="P11" s="3">
        <v>0</v>
      </c>
      <c r="Q11" s="3" t="str">
        <f t="shared" si="0"/>
        <v>Yes</v>
      </c>
      <c r="R11" s="3" t="str">
        <f t="shared" si="1"/>
        <v>High</v>
      </c>
      <c r="S11" s="3" t="str">
        <f t="shared" si="2"/>
        <v>Weak</v>
      </c>
    </row>
    <row r="12" spans="1:19" x14ac:dyDescent="0.35">
      <c r="A12" t="s">
        <v>18</v>
      </c>
      <c r="B12" s="3">
        <v>1011</v>
      </c>
      <c r="C12" s="3">
        <v>17</v>
      </c>
      <c r="D12" s="3">
        <v>0</v>
      </c>
      <c r="E12" s="3">
        <v>0</v>
      </c>
      <c r="F12" s="3">
        <v>1</v>
      </c>
      <c r="G12" s="5">
        <v>11.851363655296501</v>
      </c>
      <c r="H12" s="3">
        <v>11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5">
        <v>2.14717162501851</v>
      </c>
      <c r="P12" s="3">
        <v>3</v>
      </c>
      <c r="Q12" s="3" t="str">
        <f t="shared" si="0"/>
        <v>No</v>
      </c>
      <c r="R12" s="3" t="str">
        <f t="shared" si="1"/>
        <v>Low</v>
      </c>
      <c r="S12" s="3" t="str">
        <f t="shared" si="2"/>
        <v>Strong</v>
      </c>
    </row>
    <row r="13" spans="1:19" x14ac:dyDescent="0.35">
      <c r="A13" t="s">
        <v>19</v>
      </c>
      <c r="B13" s="3">
        <v>1012</v>
      </c>
      <c r="C13" s="3">
        <v>17</v>
      </c>
      <c r="D13" s="3">
        <v>0</v>
      </c>
      <c r="E13" s="3">
        <v>0</v>
      </c>
      <c r="F13" s="3">
        <v>1</v>
      </c>
      <c r="G13" s="5">
        <v>7.59848581924029</v>
      </c>
      <c r="H13" s="3">
        <v>15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1</v>
      </c>
      <c r="O13" s="5">
        <v>1.55959451904027</v>
      </c>
      <c r="P13" s="3">
        <v>4</v>
      </c>
      <c r="Q13" s="3" t="str">
        <f t="shared" si="0"/>
        <v>No</v>
      </c>
      <c r="R13" s="3" t="str">
        <f t="shared" si="1"/>
        <v>Low</v>
      </c>
      <c r="S13" s="3" t="str">
        <f t="shared" si="2"/>
        <v>Weak</v>
      </c>
    </row>
    <row r="14" spans="1:19" x14ac:dyDescent="0.35">
      <c r="A14" t="s">
        <v>20</v>
      </c>
      <c r="B14" s="3">
        <v>1013</v>
      </c>
      <c r="C14" s="3">
        <v>17</v>
      </c>
      <c r="D14" s="3">
        <v>0</v>
      </c>
      <c r="E14" s="3">
        <v>1</v>
      </c>
      <c r="F14" s="3">
        <v>1</v>
      </c>
      <c r="G14" s="5">
        <v>10.038711615617199</v>
      </c>
      <c r="H14" s="3">
        <v>21</v>
      </c>
      <c r="I14" s="3">
        <v>0</v>
      </c>
      <c r="J14" s="3">
        <v>3</v>
      </c>
      <c r="K14" s="3">
        <v>1</v>
      </c>
      <c r="L14" s="3">
        <v>0</v>
      </c>
      <c r="M14" s="3">
        <v>0</v>
      </c>
      <c r="N14" s="3">
        <v>0</v>
      </c>
      <c r="O14" s="5">
        <v>1.5200778148748</v>
      </c>
      <c r="P14" s="3">
        <v>4</v>
      </c>
      <c r="Q14" s="3" t="str">
        <f t="shared" si="0"/>
        <v>No</v>
      </c>
      <c r="R14" s="3" t="str">
        <f t="shared" si="1"/>
        <v>Low</v>
      </c>
      <c r="S14" s="3" t="str">
        <f t="shared" si="2"/>
        <v>Weak</v>
      </c>
    </row>
    <row r="15" spans="1:19" x14ac:dyDescent="0.35">
      <c r="A15" t="s">
        <v>21</v>
      </c>
      <c r="B15" s="3">
        <v>1014</v>
      </c>
      <c r="C15" s="3">
        <v>17</v>
      </c>
      <c r="D15" s="3">
        <v>0</v>
      </c>
      <c r="E15" s="3">
        <v>1</v>
      </c>
      <c r="F15" s="3">
        <v>2</v>
      </c>
      <c r="G15" s="5">
        <v>12.1014250687548</v>
      </c>
      <c r="H15" s="3">
        <v>21</v>
      </c>
      <c r="I15" s="3">
        <v>0</v>
      </c>
      <c r="J15" s="3">
        <v>4</v>
      </c>
      <c r="K15" s="3">
        <v>0</v>
      </c>
      <c r="L15" s="3">
        <v>1</v>
      </c>
      <c r="M15" s="3">
        <v>0</v>
      </c>
      <c r="N15" s="3">
        <v>0</v>
      </c>
      <c r="O15" s="5">
        <v>1.75158095833407</v>
      </c>
      <c r="P15" s="3">
        <v>4</v>
      </c>
      <c r="Q15" s="3" t="str">
        <f t="shared" si="0"/>
        <v>No</v>
      </c>
      <c r="R15" s="3" t="str">
        <f t="shared" si="1"/>
        <v>Low</v>
      </c>
      <c r="S15" s="3" t="str">
        <f t="shared" si="2"/>
        <v>Weak</v>
      </c>
    </row>
    <row r="16" spans="1:19" x14ac:dyDescent="0.35">
      <c r="A16" t="s">
        <v>22</v>
      </c>
      <c r="B16" s="3">
        <v>1015</v>
      </c>
      <c r="C16" s="3">
        <v>18</v>
      </c>
      <c r="D16" s="3">
        <v>1</v>
      </c>
      <c r="E16" s="3">
        <v>0</v>
      </c>
      <c r="F16" s="3">
        <v>1</v>
      </c>
      <c r="G16" s="5">
        <v>11.197810636915699</v>
      </c>
      <c r="H16" s="3">
        <v>9</v>
      </c>
      <c r="I16" s="3">
        <v>1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5">
        <v>2.3967881171247898</v>
      </c>
      <c r="P16" s="3">
        <v>3</v>
      </c>
      <c r="Q16" s="3" t="str">
        <f t="shared" si="0"/>
        <v>No</v>
      </c>
      <c r="R16" s="3" t="str">
        <f t="shared" si="1"/>
        <v>Low</v>
      </c>
      <c r="S16" s="3" t="str">
        <f t="shared" si="2"/>
        <v>Weak</v>
      </c>
    </row>
    <row r="17" spans="1:19" x14ac:dyDescent="0.35">
      <c r="A17" t="s">
        <v>23</v>
      </c>
      <c r="B17" s="3">
        <v>1016</v>
      </c>
      <c r="C17" s="3">
        <v>15</v>
      </c>
      <c r="D17" s="3">
        <v>0</v>
      </c>
      <c r="E17" s="3">
        <v>0</v>
      </c>
      <c r="F17" s="3">
        <v>2</v>
      </c>
      <c r="G17" s="5">
        <v>9.7281007107235595</v>
      </c>
      <c r="H17" s="3">
        <v>17</v>
      </c>
      <c r="I17" s="3">
        <v>1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5">
        <v>1.3415207165346601</v>
      </c>
      <c r="P17" s="3">
        <v>4</v>
      </c>
      <c r="Q17" s="3" t="str">
        <f t="shared" si="0"/>
        <v>No</v>
      </c>
      <c r="R17" s="3" t="str">
        <f t="shared" si="1"/>
        <v>Low</v>
      </c>
      <c r="S17" s="3" t="str">
        <f t="shared" si="2"/>
        <v>Weak</v>
      </c>
    </row>
    <row r="18" spans="1:19" x14ac:dyDescent="0.35">
      <c r="A18" t="s">
        <v>24</v>
      </c>
      <c r="B18" s="3">
        <v>1017</v>
      </c>
      <c r="C18" s="3">
        <v>18</v>
      </c>
      <c r="D18" s="3">
        <v>0</v>
      </c>
      <c r="E18" s="3">
        <v>3</v>
      </c>
      <c r="F18" s="3">
        <v>1</v>
      </c>
      <c r="G18" s="5">
        <v>10.098656081788</v>
      </c>
      <c r="H18" s="3">
        <v>14</v>
      </c>
      <c r="I18" s="3">
        <v>0</v>
      </c>
      <c r="J18" s="3">
        <v>2</v>
      </c>
      <c r="K18" s="3">
        <v>1</v>
      </c>
      <c r="L18" s="3">
        <v>1</v>
      </c>
      <c r="M18" s="3">
        <v>0</v>
      </c>
      <c r="N18" s="3">
        <v>0</v>
      </c>
      <c r="O18" s="5">
        <v>2.23217527771597</v>
      </c>
      <c r="P18" s="3">
        <v>3</v>
      </c>
      <c r="Q18" s="3" t="str">
        <f t="shared" si="0"/>
        <v>No</v>
      </c>
      <c r="R18" s="3" t="str">
        <f t="shared" si="1"/>
        <v>Low</v>
      </c>
      <c r="S18" s="3" t="str">
        <f t="shared" si="2"/>
        <v>Weak</v>
      </c>
    </row>
    <row r="19" spans="1:19" x14ac:dyDescent="0.35">
      <c r="A19" t="s">
        <v>25</v>
      </c>
      <c r="B19" s="3">
        <v>1018</v>
      </c>
      <c r="C19" s="3">
        <v>18</v>
      </c>
      <c r="D19" s="3">
        <v>1</v>
      </c>
      <c r="E19" s="3">
        <v>0</v>
      </c>
      <c r="F19" s="3">
        <v>0</v>
      </c>
      <c r="G19" s="5">
        <v>3.52823820855772</v>
      </c>
      <c r="H19" s="3">
        <v>16</v>
      </c>
      <c r="I19" s="3">
        <v>1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5">
        <v>1.38440417569403</v>
      </c>
      <c r="P19" s="3">
        <v>4</v>
      </c>
      <c r="Q19" s="3" t="str">
        <f t="shared" si="0"/>
        <v>No</v>
      </c>
      <c r="R19" s="3" t="str">
        <f t="shared" si="1"/>
        <v>Low</v>
      </c>
      <c r="S19" s="3" t="str">
        <f t="shared" si="2"/>
        <v>Weak</v>
      </c>
    </row>
    <row r="20" spans="1:19" x14ac:dyDescent="0.35">
      <c r="A20" t="s">
        <v>26</v>
      </c>
      <c r="B20" s="3">
        <v>1019</v>
      </c>
      <c r="C20" s="3">
        <v>18</v>
      </c>
      <c r="D20" s="3">
        <v>0</v>
      </c>
      <c r="E20" s="3">
        <v>1</v>
      </c>
      <c r="F20" s="3">
        <v>3</v>
      </c>
      <c r="G20" s="5">
        <v>16.254658086093499</v>
      </c>
      <c r="H20" s="3">
        <v>29</v>
      </c>
      <c r="I20" s="3">
        <v>0</v>
      </c>
      <c r="J20" s="3">
        <v>2</v>
      </c>
      <c r="K20" s="3">
        <v>1</v>
      </c>
      <c r="L20" s="3">
        <v>0</v>
      </c>
      <c r="M20" s="3">
        <v>0</v>
      </c>
      <c r="N20" s="3">
        <v>1</v>
      </c>
      <c r="O20" s="5">
        <v>0.46955332337986999</v>
      </c>
      <c r="P20" s="3">
        <v>4</v>
      </c>
      <c r="Q20" s="3" t="str">
        <f t="shared" si="0"/>
        <v>No</v>
      </c>
      <c r="R20" s="3" t="str">
        <f t="shared" si="1"/>
        <v>Low</v>
      </c>
      <c r="S20" s="3" t="str">
        <f t="shared" si="2"/>
        <v>Weak</v>
      </c>
    </row>
    <row r="21" spans="1:19" x14ac:dyDescent="0.35">
      <c r="A21" t="s">
        <v>27</v>
      </c>
      <c r="B21" s="3">
        <v>1020</v>
      </c>
      <c r="C21" s="3">
        <v>17</v>
      </c>
      <c r="D21" s="3">
        <v>0</v>
      </c>
      <c r="E21" s="3">
        <v>0</v>
      </c>
      <c r="F21" s="3">
        <v>1</v>
      </c>
      <c r="G21" s="5">
        <v>10.835206398820301</v>
      </c>
      <c r="H21" s="3">
        <v>9</v>
      </c>
      <c r="I21" s="3">
        <v>0</v>
      </c>
      <c r="J21" s="3">
        <v>2</v>
      </c>
      <c r="K21" s="3">
        <v>0</v>
      </c>
      <c r="L21" s="3">
        <v>0</v>
      </c>
      <c r="M21" s="3">
        <v>1</v>
      </c>
      <c r="N21" s="3">
        <v>0</v>
      </c>
      <c r="O21" s="5">
        <v>2.3957840945306899</v>
      </c>
      <c r="P21" s="3">
        <v>3</v>
      </c>
      <c r="Q21" s="3" t="str">
        <f t="shared" si="0"/>
        <v>No</v>
      </c>
      <c r="R21" s="3" t="str">
        <f t="shared" si="1"/>
        <v>Low</v>
      </c>
      <c r="S21" s="3" t="str">
        <f t="shared" si="2"/>
        <v>Weak</v>
      </c>
    </row>
    <row r="22" spans="1:19" x14ac:dyDescent="0.35">
      <c r="A22" t="s">
        <v>28</v>
      </c>
      <c r="B22" s="3">
        <v>1021</v>
      </c>
      <c r="C22" s="3">
        <v>16</v>
      </c>
      <c r="D22" s="3">
        <v>1</v>
      </c>
      <c r="E22" s="3">
        <v>0</v>
      </c>
      <c r="F22" s="3">
        <v>3</v>
      </c>
      <c r="G22" s="5">
        <v>2.6215972340940601</v>
      </c>
      <c r="H22" s="3">
        <v>2</v>
      </c>
      <c r="I22" s="3">
        <v>0</v>
      </c>
      <c r="J22" s="3">
        <v>3</v>
      </c>
      <c r="K22" s="3">
        <v>0</v>
      </c>
      <c r="L22" s="3">
        <v>0</v>
      </c>
      <c r="M22" s="3">
        <v>0</v>
      </c>
      <c r="N22" s="3">
        <v>1</v>
      </c>
      <c r="O22" s="5">
        <v>2.7784112999206498</v>
      </c>
      <c r="P22" s="3">
        <v>2</v>
      </c>
      <c r="Q22" s="3" t="str">
        <f t="shared" si="0"/>
        <v>No</v>
      </c>
      <c r="R22" s="3" t="str">
        <f t="shared" si="1"/>
        <v>High</v>
      </c>
      <c r="S22" s="3" t="str">
        <f t="shared" si="2"/>
        <v>Weak</v>
      </c>
    </row>
    <row r="23" spans="1:19" x14ac:dyDescent="0.35">
      <c r="A23" t="s">
        <v>29</v>
      </c>
      <c r="B23" s="3">
        <v>1022</v>
      </c>
      <c r="C23" s="3">
        <v>15</v>
      </c>
      <c r="D23" s="3">
        <v>0</v>
      </c>
      <c r="E23" s="3">
        <v>0</v>
      </c>
      <c r="F23" s="3">
        <v>2</v>
      </c>
      <c r="G23" s="5">
        <v>15.3231420316555</v>
      </c>
      <c r="H23" s="3">
        <v>25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5">
        <v>0.34689403670501401</v>
      </c>
      <c r="P23" s="3">
        <v>4</v>
      </c>
      <c r="Q23" s="3" t="str">
        <f t="shared" si="0"/>
        <v>No</v>
      </c>
      <c r="R23" s="3" t="str">
        <f t="shared" si="1"/>
        <v>Low</v>
      </c>
      <c r="S23" s="3" t="str">
        <f t="shared" si="2"/>
        <v>Weak</v>
      </c>
    </row>
    <row r="24" spans="1:19" x14ac:dyDescent="0.35">
      <c r="A24" t="s">
        <v>30</v>
      </c>
      <c r="B24" s="3">
        <v>1023</v>
      </c>
      <c r="C24" s="3">
        <v>16</v>
      </c>
      <c r="D24" s="3">
        <v>1</v>
      </c>
      <c r="E24" s="3">
        <v>1</v>
      </c>
      <c r="F24" s="3">
        <v>0</v>
      </c>
      <c r="G24" s="5">
        <v>18.648879567546999</v>
      </c>
      <c r="H24" s="3">
        <v>29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5">
        <v>0.31254623052535402</v>
      </c>
      <c r="P24" s="3">
        <v>4</v>
      </c>
      <c r="Q24" s="3" t="str">
        <f t="shared" si="0"/>
        <v>No</v>
      </c>
      <c r="R24" s="3" t="str">
        <f t="shared" si="1"/>
        <v>Low</v>
      </c>
      <c r="S24" s="3" t="str">
        <f t="shared" si="2"/>
        <v>Weak</v>
      </c>
    </row>
    <row r="25" spans="1:19" x14ac:dyDescent="0.35">
      <c r="A25" t="s">
        <v>31</v>
      </c>
      <c r="B25" s="3">
        <v>1024</v>
      </c>
      <c r="C25" s="3">
        <v>18</v>
      </c>
      <c r="D25" s="3">
        <v>1</v>
      </c>
      <c r="E25" s="3">
        <v>3</v>
      </c>
      <c r="F25" s="3">
        <v>4</v>
      </c>
      <c r="G25" s="5">
        <v>18.946137984739199</v>
      </c>
      <c r="H25" s="3">
        <v>20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  <c r="O25" s="5">
        <v>1.7701318767799701</v>
      </c>
      <c r="P25" s="3">
        <v>4</v>
      </c>
      <c r="Q25" s="3" t="str">
        <f t="shared" si="0"/>
        <v>No</v>
      </c>
      <c r="R25" s="3" t="str">
        <f t="shared" si="1"/>
        <v>Low</v>
      </c>
      <c r="S25" s="3" t="str">
        <f t="shared" si="2"/>
        <v>Weak</v>
      </c>
    </row>
    <row r="26" spans="1:19" x14ac:dyDescent="0.35">
      <c r="A26" t="s">
        <v>32</v>
      </c>
      <c r="B26" s="3">
        <v>1025</v>
      </c>
      <c r="C26" s="3">
        <v>18</v>
      </c>
      <c r="D26" s="3">
        <v>1</v>
      </c>
      <c r="E26" s="3">
        <v>0</v>
      </c>
      <c r="F26" s="3">
        <v>1</v>
      </c>
      <c r="G26" s="5">
        <v>7.3803546482234497</v>
      </c>
      <c r="H26" s="3">
        <v>15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5">
        <v>1.5051556220362801</v>
      </c>
      <c r="P26" s="3">
        <v>4</v>
      </c>
      <c r="Q26" s="3" t="str">
        <f t="shared" si="0"/>
        <v>No</v>
      </c>
      <c r="R26" s="3" t="str">
        <f t="shared" si="1"/>
        <v>Low</v>
      </c>
      <c r="S26" s="3" t="str">
        <f t="shared" si="2"/>
        <v>Weak</v>
      </c>
    </row>
    <row r="27" spans="1:19" x14ac:dyDescent="0.35">
      <c r="A27" t="s">
        <v>33</v>
      </c>
      <c r="B27" s="3">
        <v>1026</v>
      </c>
      <c r="C27" s="3">
        <v>16</v>
      </c>
      <c r="D27" s="3">
        <v>1</v>
      </c>
      <c r="E27" s="3">
        <v>0</v>
      </c>
      <c r="F27" s="3">
        <v>3</v>
      </c>
      <c r="G27" s="5">
        <v>2.7103374712150798</v>
      </c>
      <c r="H27" s="3">
        <v>5</v>
      </c>
      <c r="I27" s="3">
        <v>0</v>
      </c>
      <c r="J27" s="3">
        <v>4</v>
      </c>
      <c r="K27" s="3">
        <v>0</v>
      </c>
      <c r="L27" s="3">
        <v>0</v>
      </c>
      <c r="M27" s="3">
        <v>1</v>
      </c>
      <c r="N27" s="3">
        <v>0</v>
      </c>
      <c r="O27" s="5">
        <v>2.9778519183157401</v>
      </c>
      <c r="P27" s="3">
        <v>2</v>
      </c>
      <c r="Q27" s="3" t="str">
        <f t="shared" si="0"/>
        <v>No</v>
      </c>
      <c r="R27" s="3" t="str">
        <f t="shared" si="1"/>
        <v>High</v>
      </c>
      <c r="S27" s="3" t="str">
        <f t="shared" si="2"/>
        <v>Weak</v>
      </c>
    </row>
    <row r="28" spans="1:19" x14ac:dyDescent="0.35">
      <c r="A28" t="s">
        <v>34</v>
      </c>
      <c r="B28" s="3">
        <v>1027</v>
      </c>
      <c r="C28" s="3">
        <v>16</v>
      </c>
      <c r="D28" s="3">
        <v>0</v>
      </c>
      <c r="E28" s="3">
        <v>0</v>
      </c>
      <c r="F28" s="3">
        <v>1</v>
      </c>
      <c r="G28" s="5">
        <v>10.367992532661299</v>
      </c>
      <c r="H28" s="3">
        <v>2</v>
      </c>
      <c r="I28" s="3">
        <v>0</v>
      </c>
      <c r="J28" s="3">
        <v>2</v>
      </c>
      <c r="K28" s="3">
        <v>0</v>
      </c>
      <c r="L28" s="3">
        <v>1</v>
      </c>
      <c r="M28" s="3">
        <v>0</v>
      </c>
      <c r="N28" s="3">
        <v>0</v>
      </c>
      <c r="O28" s="5">
        <v>2.9487176719119201</v>
      </c>
      <c r="P28" s="3">
        <v>2</v>
      </c>
      <c r="Q28" s="3" t="str">
        <f t="shared" si="0"/>
        <v>No</v>
      </c>
      <c r="R28" s="3" t="str">
        <f t="shared" si="1"/>
        <v>High</v>
      </c>
      <c r="S28" s="3" t="str">
        <f t="shared" si="2"/>
        <v>Weak</v>
      </c>
    </row>
    <row r="29" spans="1:19" x14ac:dyDescent="0.35">
      <c r="A29" t="s">
        <v>35</v>
      </c>
      <c r="B29" s="3">
        <v>1028</v>
      </c>
      <c r="C29" s="3">
        <v>16</v>
      </c>
      <c r="D29" s="3">
        <v>1</v>
      </c>
      <c r="E29" s="3">
        <v>0</v>
      </c>
      <c r="F29" s="3">
        <v>3</v>
      </c>
      <c r="G29" s="5">
        <v>2.2521845869844102</v>
      </c>
      <c r="H29" s="3">
        <v>8</v>
      </c>
      <c r="I29" s="3">
        <v>0</v>
      </c>
      <c r="J29" s="3">
        <v>3</v>
      </c>
      <c r="K29" s="3">
        <v>0</v>
      </c>
      <c r="L29" s="3">
        <v>0</v>
      </c>
      <c r="M29" s="3">
        <v>1</v>
      </c>
      <c r="N29" s="3">
        <v>0</v>
      </c>
      <c r="O29" s="5">
        <v>2.14520472046719</v>
      </c>
      <c r="P29" s="3">
        <v>3</v>
      </c>
      <c r="Q29" s="3" t="str">
        <f t="shared" si="0"/>
        <v>No</v>
      </c>
      <c r="R29" s="3" t="str">
        <f t="shared" si="1"/>
        <v>Low</v>
      </c>
      <c r="S29" s="3" t="str">
        <f t="shared" si="2"/>
        <v>Weak</v>
      </c>
    </row>
    <row r="30" spans="1:19" x14ac:dyDescent="0.35">
      <c r="A30" t="s">
        <v>36</v>
      </c>
      <c r="B30" s="3">
        <v>1029</v>
      </c>
      <c r="C30" s="3">
        <v>18</v>
      </c>
      <c r="D30" s="3">
        <v>0</v>
      </c>
      <c r="E30" s="3">
        <v>0</v>
      </c>
      <c r="F30" s="3">
        <v>0</v>
      </c>
      <c r="G30" s="5">
        <v>18.679748370252302</v>
      </c>
      <c r="H30" s="3">
        <v>10</v>
      </c>
      <c r="I30" s="3">
        <v>0</v>
      </c>
      <c r="J30" s="3">
        <v>3</v>
      </c>
      <c r="K30" s="3">
        <v>1</v>
      </c>
      <c r="L30" s="3">
        <v>0</v>
      </c>
      <c r="M30" s="3">
        <v>0</v>
      </c>
      <c r="N30" s="3">
        <v>0</v>
      </c>
      <c r="O30" s="5">
        <v>2.8548039289813101</v>
      </c>
      <c r="P30" s="3">
        <v>2</v>
      </c>
      <c r="Q30" s="3" t="str">
        <f t="shared" si="0"/>
        <v>Yes</v>
      </c>
      <c r="R30" s="3" t="str">
        <f t="shared" si="1"/>
        <v>High</v>
      </c>
      <c r="S30" s="3" t="str">
        <f t="shared" si="2"/>
        <v>Weak</v>
      </c>
    </row>
    <row r="31" spans="1:19" x14ac:dyDescent="0.35">
      <c r="A31" t="s">
        <v>37</v>
      </c>
      <c r="B31" s="3">
        <v>1030</v>
      </c>
      <c r="C31" s="3">
        <v>18</v>
      </c>
      <c r="D31" s="3">
        <v>0</v>
      </c>
      <c r="E31" s="3">
        <v>0</v>
      </c>
      <c r="F31" s="3">
        <v>2</v>
      </c>
      <c r="G31" s="5">
        <v>3.6715925471029198</v>
      </c>
      <c r="H31" s="3">
        <v>20</v>
      </c>
      <c r="I31" s="3">
        <v>0</v>
      </c>
      <c r="J31" s="3">
        <v>3</v>
      </c>
      <c r="K31" s="3">
        <v>1</v>
      </c>
      <c r="L31" s="3">
        <v>0</v>
      </c>
      <c r="M31" s="3">
        <v>0</v>
      </c>
      <c r="N31" s="3">
        <v>0</v>
      </c>
      <c r="O31" s="5">
        <v>1.51944172581513</v>
      </c>
      <c r="P31" s="3">
        <v>4</v>
      </c>
      <c r="Q31" s="3" t="str">
        <f t="shared" si="0"/>
        <v>No</v>
      </c>
      <c r="R31" s="3" t="str">
        <f t="shared" si="1"/>
        <v>Low</v>
      </c>
      <c r="S31" s="3" t="str">
        <f t="shared" si="2"/>
        <v>Strong</v>
      </c>
    </row>
    <row r="32" spans="1:19" x14ac:dyDescent="0.35">
      <c r="A32" t="s">
        <v>38</v>
      </c>
      <c r="B32" s="3">
        <v>1031</v>
      </c>
      <c r="C32" s="3">
        <v>15</v>
      </c>
      <c r="D32" s="3">
        <v>0</v>
      </c>
      <c r="E32" s="3">
        <v>2</v>
      </c>
      <c r="F32" s="3">
        <v>2</v>
      </c>
      <c r="G32" s="5">
        <v>5.0553171990232801</v>
      </c>
      <c r="H32" s="3">
        <v>12</v>
      </c>
      <c r="I32" s="3">
        <v>1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5">
        <v>1.7271203095223999</v>
      </c>
      <c r="P32" s="3">
        <v>4</v>
      </c>
      <c r="Q32" s="3" t="str">
        <f t="shared" si="0"/>
        <v>No</v>
      </c>
      <c r="R32" s="3" t="str">
        <f t="shared" si="1"/>
        <v>Low</v>
      </c>
      <c r="S32" s="3" t="str">
        <f t="shared" si="2"/>
        <v>Weak</v>
      </c>
    </row>
    <row r="33" spans="1:19" x14ac:dyDescent="0.35">
      <c r="A33" t="s">
        <v>39</v>
      </c>
      <c r="B33" s="3">
        <v>1032</v>
      </c>
      <c r="C33" s="3">
        <v>15</v>
      </c>
      <c r="D33" s="3">
        <v>0</v>
      </c>
      <c r="E33" s="3">
        <v>0</v>
      </c>
      <c r="F33" s="3">
        <v>3</v>
      </c>
      <c r="G33" s="5">
        <v>8.1327305376994001</v>
      </c>
      <c r="H33" s="3">
        <v>17</v>
      </c>
      <c r="I33" s="3">
        <v>0</v>
      </c>
      <c r="J33" s="3">
        <v>4</v>
      </c>
      <c r="K33" s="3">
        <v>0</v>
      </c>
      <c r="L33" s="3">
        <v>0</v>
      </c>
      <c r="M33" s="3">
        <v>0</v>
      </c>
      <c r="N33" s="3">
        <v>1</v>
      </c>
      <c r="O33" s="5">
        <v>1.8475354711387899</v>
      </c>
      <c r="P33" s="3">
        <v>4</v>
      </c>
      <c r="Q33" s="3" t="str">
        <f t="shared" si="0"/>
        <v>No</v>
      </c>
      <c r="R33" s="3" t="str">
        <f t="shared" si="1"/>
        <v>Low</v>
      </c>
      <c r="S33" s="3" t="str">
        <f t="shared" si="2"/>
        <v>Weak</v>
      </c>
    </row>
    <row r="34" spans="1:19" x14ac:dyDescent="0.35">
      <c r="A34" t="s">
        <v>40</v>
      </c>
      <c r="B34" s="3">
        <v>1033</v>
      </c>
      <c r="C34" s="3">
        <v>18</v>
      </c>
      <c r="D34" s="3">
        <v>0</v>
      </c>
      <c r="E34" s="3">
        <v>0</v>
      </c>
      <c r="F34" s="3">
        <v>3</v>
      </c>
      <c r="G34" s="5">
        <v>7.6632893711825103</v>
      </c>
      <c r="H34" s="3">
        <v>25</v>
      </c>
      <c r="I34" s="3">
        <v>0</v>
      </c>
      <c r="J34" s="3">
        <v>1</v>
      </c>
      <c r="K34" s="3">
        <v>0</v>
      </c>
      <c r="L34" s="3">
        <v>1</v>
      </c>
      <c r="M34" s="3">
        <v>0</v>
      </c>
      <c r="N34" s="3">
        <v>0</v>
      </c>
      <c r="O34" s="5">
        <v>0.38461697285648699</v>
      </c>
      <c r="P34" s="3">
        <v>4</v>
      </c>
      <c r="Q34" s="3" t="str">
        <f t="shared" si="0"/>
        <v>No</v>
      </c>
      <c r="R34" s="3" t="str">
        <f t="shared" si="1"/>
        <v>Low</v>
      </c>
      <c r="S34" s="3" t="str">
        <f t="shared" si="2"/>
        <v>Weak</v>
      </c>
    </row>
    <row r="35" spans="1:19" x14ac:dyDescent="0.35">
      <c r="A35" t="s">
        <v>41</v>
      </c>
      <c r="B35" s="3">
        <v>1034</v>
      </c>
      <c r="C35" s="3">
        <v>16</v>
      </c>
      <c r="D35" s="3">
        <v>0</v>
      </c>
      <c r="E35" s="3">
        <v>3</v>
      </c>
      <c r="F35" s="3">
        <v>3</v>
      </c>
      <c r="G35" s="5">
        <v>15.893257847957701</v>
      </c>
      <c r="H35" s="3">
        <v>21</v>
      </c>
      <c r="I35" s="3">
        <v>0</v>
      </c>
      <c r="J35" s="3">
        <v>0</v>
      </c>
      <c r="K35" s="3">
        <v>1</v>
      </c>
      <c r="L35" s="3">
        <v>1</v>
      </c>
      <c r="M35" s="3">
        <v>0</v>
      </c>
      <c r="N35" s="3">
        <v>0</v>
      </c>
      <c r="O35" s="5">
        <v>0.94940609779728002</v>
      </c>
      <c r="P35" s="3">
        <v>4</v>
      </c>
      <c r="Q35" s="3" t="str">
        <f t="shared" si="0"/>
        <v>No</v>
      </c>
      <c r="R35" s="3" t="str">
        <f t="shared" si="1"/>
        <v>Low</v>
      </c>
      <c r="S35" s="3" t="str">
        <f t="shared" si="2"/>
        <v>Weak</v>
      </c>
    </row>
    <row r="36" spans="1:19" x14ac:dyDescent="0.35">
      <c r="A36" t="s">
        <v>42</v>
      </c>
      <c r="B36" s="3">
        <v>1035</v>
      </c>
      <c r="C36" s="3">
        <v>16</v>
      </c>
      <c r="D36" s="3">
        <v>0</v>
      </c>
      <c r="E36" s="3">
        <v>0</v>
      </c>
      <c r="F36" s="3">
        <v>3</v>
      </c>
      <c r="G36" s="5">
        <v>9.1263364110192402</v>
      </c>
      <c r="H36" s="3">
        <v>27</v>
      </c>
      <c r="I36" s="3">
        <v>1</v>
      </c>
      <c r="J36" s="3">
        <v>2</v>
      </c>
      <c r="K36" s="3">
        <v>1</v>
      </c>
      <c r="L36" s="3">
        <v>1</v>
      </c>
      <c r="M36" s="3">
        <v>0</v>
      </c>
      <c r="N36" s="3">
        <v>0</v>
      </c>
      <c r="O36" s="5">
        <v>1.14095941842033</v>
      </c>
      <c r="P36" s="3">
        <v>4</v>
      </c>
      <c r="Q36" s="3" t="str">
        <f t="shared" si="0"/>
        <v>No</v>
      </c>
      <c r="R36" s="3" t="str">
        <f t="shared" si="1"/>
        <v>Low</v>
      </c>
      <c r="S36" s="3" t="str">
        <f t="shared" si="2"/>
        <v>Weak</v>
      </c>
    </row>
    <row r="37" spans="1:19" x14ac:dyDescent="0.35">
      <c r="A37" t="s">
        <v>43</v>
      </c>
      <c r="B37" s="3">
        <v>1036</v>
      </c>
      <c r="C37" s="3">
        <v>15</v>
      </c>
      <c r="D37" s="3">
        <v>0</v>
      </c>
      <c r="E37" s="3">
        <v>3</v>
      </c>
      <c r="F37" s="3">
        <v>1</v>
      </c>
      <c r="G37" s="5">
        <v>3.4153652000667298</v>
      </c>
      <c r="H37" s="3">
        <v>23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5">
        <v>0.26147226005075203</v>
      </c>
      <c r="P37" s="3">
        <v>4</v>
      </c>
      <c r="Q37" s="3" t="str">
        <f t="shared" si="0"/>
        <v>No</v>
      </c>
      <c r="R37" s="3" t="str">
        <f t="shared" si="1"/>
        <v>Low</v>
      </c>
      <c r="S37" s="3" t="str">
        <f t="shared" si="2"/>
        <v>Weak</v>
      </c>
    </row>
    <row r="38" spans="1:19" x14ac:dyDescent="0.35">
      <c r="A38" t="s">
        <v>44</v>
      </c>
      <c r="B38" s="3">
        <v>1037</v>
      </c>
      <c r="C38" s="3">
        <v>18</v>
      </c>
      <c r="D38" s="3">
        <v>0</v>
      </c>
      <c r="E38" s="3">
        <v>0</v>
      </c>
      <c r="F38" s="3">
        <v>1</v>
      </c>
      <c r="G38" s="5">
        <v>5.3441979097214798</v>
      </c>
      <c r="H38" s="3">
        <v>26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5">
        <v>0.21828485682103099</v>
      </c>
      <c r="P38" s="3">
        <v>4</v>
      </c>
      <c r="Q38" s="3" t="str">
        <f t="shared" si="0"/>
        <v>No</v>
      </c>
      <c r="R38" s="3" t="str">
        <f t="shared" si="1"/>
        <v>Low</v>
      </c>
      <c r="S38" s="3" t="str">
        <f t="shared" si="2"/>
        <v>Weak</v>
      </c>
    </row>
    <row r="39" spans="1:19" x14ac:dyDescent="0.35">
      <c r="A39" t="s">
        <v>45</v>
      </c>
      <c r="B39" s="3">
        <v>1038</v>
      </c>
      <c r="C39" s="3">
        <v>15</v>
      </c>
      <c r="D39" s="3">
        <v>0</v>
      </c>
      <c r="E39" s="3">
        <v>2</v>
      </c>
      <c r="F39" s="3">
        <v>1</v>
      </c>
      <c r="G39" s="5">
        <v>10.1822677037504</v>
      </c>
      <c r="H39" s="3">
        <v>21</v>
      </c>
      <c r="I39" s="3">
        <v>1</v>
      </c>
      <c r="J39" s="3">
        <v>1</v>
      </c>
      <c r="K39" s="3">
        <v>0</v>
      </c>
      <c r="L39" s="3">
        <v>1</v>
      </c>
      <c r="M39" s="3">
        <v>0</v>
      </c>
      <c r="N39" s="3">
        <v>0</v>
      </c>
      <c r="O39" s="5">
        <v>1.0677635510419701</v>
      </c>
      <c r="P39" s="3">
        <v>4</v>
      </c>
      <c r="Q39" s="3" t="str">
        <f t="shared" si="0"/>
        <v>No</v>
      </c>
      <c r="R39" s="3" t="str">
        <f t="shared" si="1"/>
        <v>Low</v>
      </c>
      <c r="S39" s="3" t="str">
        <f t="shared" si="2"/>
        <v>Weak</v>
      </c>
    </row>
    <row r="40" spans="1:19" x14ac:dyDescent="0.35">
      <c r="A40" t="s">
        <v>56</v>
      </c>
      <c r="B40" s="3">
        <v>1039</v>
      </c>
      <c r="C40" s="3">
        <v>15</v>
      </c>
      <c r="D40" s="3">
        <v>1</v>
      </c>
      <c r="E40" s="3">
        <v>1</v>
      </c>
      <c r="F40" s="3">
        <v>1</v>
      </c>
      <c r="G40" s="5">
        <v>2.9490783485226899</v>
      </c>
      <c r="H40" s="3">
        <v>3</v>
      </c>
      <c r="I40" s="3">
        <v>1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5">
        <v>3.01890585842796</v>
      </c>
      <c r="P40" s="3">
        <v>1</v>
      </c>
      <c r="Q40" s="3" t="str">
        <f t="shared" si="0"/>
        <v>No</v>
      </c>
      <c r="R40" s="3" t="str">
        <f t="shared" si="1"/>
        <v>High</v>
      </c>
      <c r="S40" s="3" t="str">
        <f t="shared" si="2"/>
        <v>Weak</v>
      </c>
    </row>
    <row r="43" spans="1:19" x14ac:dyDescent="0.35">
      <c r="S43">
        <f>COUNTIF(tble_students[Strong],"Strong")</f>
        <v>6</v>
      </c>
    </row>
    <row r="44" spans="1:19" x14ac:dyDescent="0.35">
      <c r="S44">
        <f>COUNTIF(tble_students[Strong],"Weak")</f>
        <v>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C750-6622-4DB5-AF89-15DE5E74D44C}">
  <dimension ref="A3:O23"/>
  <sheetViews>
    <sheetView workbookViewId="0">
      <selection activeCell="O19" sqref="O19"/>
    </sheetView>
  </sheetViews>
  <sheetFormatPr defaultRowHeight="14.5" x14ac:dyDescent="0.35"/>
  <cols>
    <col min="1" max="1" width="14.90625" customWidth="1"/>
    <col min="2" max="2" width="13.36328125" customWidth="1"/>
  </cols>
  <sheetData>
    <row r="3" spans="1:6" x14ac:dyDescent="0.35">
      <c r="A3" t="s">
        <v>72</v>
      </c>
      <c r="B3" t="s">
        <v>44</v>
      </c>
      <c r="D3" t="s">
        <v>81</v>
      </c>
      <c r="E3" t="s">
        <v>84</v>
      </c>
    </row>
    <row r="4" spans="1:6" x14ac:dyDescent="0.35">
      <c r="A4" t="s">
        <v>73</v>
      </c>
      <c r="B4">
        <f>_xlfn.XLOOKUP(B3,tble_students[Student names],tble_students[StudentID])</f>
        <v>1037</v>
      </c>
      <c r="D4" t="s">
        <v>82</v>
      </c>
    </row>
    <row r="5" spans="1:6" x14ac:dyDescent="0.35">
      <c r="A5" t="s">
        <v>57</v>
      </c>
      <c r="B5">
        <f>_xlfn.XLOOKUP(B3,tble_students[Student names],tble_students[Age])</f>
        <v>18</v>
      </c>
      <c r="D5" t="s">
        <v>83</v>
      </c>
      <c r="E5">
        <f>COUNTIFS(marks_tble[Student name],prepare!B3,marks_tble[Strengths/weakness],0)</f>
        <v>2</v>
      </c>
    </row>
    <row r="6" spans="1:6" x14ac:dyDescent="0.35">
      <c r="A6" t="s">
        <v>58</v>
      </c>
      <c r="B6" t="str">
        <f>IF(_xlfn.XLOOKUP(B3,tble_students[Student names],tble_students[Gender])=1,"Male","Female")</f>
        <v>Female</v>
      </c>
    </row>
    <row r="7" spans="1:6" x14ac:dyDescent="0.35">
      <c r="A7" t="s">
        <v>69</v>
      </c>
      <c r="B7" s="5">
        <f>_xlfn.XLOOKUP(B3,tble_students[Student names],tble_students[GPA])</f>
        <v>0.21828485682103099</v>
      </c>
    </row>
    <row r="8" spans="1:6" x14ac:dyDescent="0.35">
      <c r="A8" t="s">
        <v>74</v>
      </c>
      <c r="B8" s="5">
        <f>_xlfn.XLOOKUP(B3,tble_students[Student names],tble_students[StudyTimeWeekly])</f>
        <v>5.3441979097214798</v>
      </c>
      <c r="D8" t="s">
        <v>88</v>
      </c>
    </row>
    <row r="9" spans="1:6" x14ac:dyDescent="0.35">
      <c r="A9" t="s">
        <v>62</v>
      </c>
      <c r="B9">
        <f>_xlfn.XLOOKUP(B3,tble_students[Student names],tble_students[Absences])</f>
        <v>26</v>
      </c>
      <c r="D9" t="s">
        <v>89</v>
      </c>
      <c r="F9" t="str" cm="1">
        <f t="array" ref="F9">_xlfn.TEXTJOIN(", ",TRUE,_xlfn._xlws.FILTER(marks_tble[Exam name],(marks_tble[Student name]=prepare!B3)*(marks_tble[Strengths/weakness]=0)))</f>
        <v>Mathematics, Sociology</v>
      </c>
    </row>
    <row r="12" spans="1:6" x14ac:dyDescent="0.35">
      <c r="A12" t="s">
        <v>75</v>
      </c>
      <c r="B12" t="s">
        <v>76</v>
      </c>
    </row>
    <row r="13" spans="1:6" x14ac:dyDescent="0.35">
      <c r="A13" t="s">
        <v>7</v>
      </c>
      <c r="B13">
        <f>SUMIFS(marks_tble[Exam points], marks_tble[Student name], dashboard!B4,marks_tble[Exam name],A13)</f>
        <v>31</v>
      </c>
      <c r="D13">
        <f>AVERAGE(B13:$B18)</f>
        <v>50.833333333333336</v>
      </c>
    </row>
    <row r="14" spans="1:6" x14ac:dyDescent="0.35">
      <c r="A14" t="s">
        <v>46</v>
      </c>
      <c r="B14">
        <f>SUMIFS(marks_tble[Exam points], marks_tble[Student name], dashboard!B4,marks_tble[Exam name],A14)</f>
        <v>52</v>
      </c>
    </row>
    <row r="15" spans="1:6" x14ac:dyDescent="0.35">
      <c r="A15" t="s">
        <v>48</v>
      </c>
      <c r="B15">
        <f>SUMIFS(marks_tble[Exam points], marks_tble[Student name], dashboard!B4,marks_tble[Exam name],A15)</f>
        <v>48</v>
      </c>
    </row>
    <row r="16" spans="1:6" x14ac:dyDescent="0.35">
      <c r="A16" t="s">
        <v>50</v>
      </c>
      <c r="B16">
        <f>SUMIFS(marks_tble[Exam points], marks_tble[Student name], dashboard!B4,marks_tble[Exam name],A16)</f>
        <v>35</v>
      </c>
    </row>
    <row r="17" spans="1:15" x14ac:dyDescent="0.35">
      <c r="A17" t="s">
        <v>52</v>
      </c>
      <c r="B17">
        <f>SUMIFS(marks_tble[Exam points], marks_tble[Student name], dashboard!B4,marks_tble[Exam name],A17)</f>
        <v>69</v>
      </c>
      <c r="N17" t="s">
        <v>85</v>
      </c>
    </row>
    <row r="18" spans="1:15" x14ac:dyDescent="0.35">
      <c r="A18" t="s">
        <v>54</v>
      </c>
      <c r="B18">
        <f>SUMIFS(marks_tble[Exam points], marks_tble[Student name], dashboard!B4,marks_tble[Exam name],A18)</f>
        <v>70</v>
      </c>
      <c r="N18" t="s">
        <v>86</v>
      </c>
      <c r="O18" t="s">
        <v>87</v>
      </c>
    </row>
    <row r="19" spans="1:15" x14ac:dyDescent="0.35">
      <c r="N19" t="s">
        <v>91</v>
      </c>
      <c r="O19">
        <f>_xlfn.XLOOKUP(dashboard!B4,tble_students[Student names],tble_students[Absences])</f>
        <v>7</v>
      </c>
    </row>
    <row r="20" spans="1:15" x14ac:dyDescent="0.35">
      <c r="A20" t="s">
        <v>77</v>
      </c>
      <c r="N20" t="s">
        <v>80</v>
      </c>
      <c r="O20" s="5">
        <f>AVERAGE(tble_students[Absences])</f>
        <v>14.615384615384615</v>
      </c>
    </row>
    <row r="21" spans="1:15" x14ac:dyDescent="0.35">
      <c r="A21" t="s">
        <v>78</v>
      </c>
    </row>
    <row r="22" spans="1:15" x14ac:dyDescent="0.35">
      <c r="A22" t="s">
        <v>79</v>
      </c>
      <c r="B22" s="5">
        <f>_xlfn.XLOOKUP(dashboard!B4,tble_students[Student names],tble_students[StudyTimeWeekly])</f>
        <v>19.833722807854699</v>
      </c>
    </row>
    <row r="23" spans="1:15" x14ac:dyDescent="0.35">
      <c r="A23" t="s">
        <v>80</v>
      </c>
      <c r="B23" s="5">
        <f>AVERAGE(dashboard!B4,tble_students[StudyTimeWeekly])</f>
        <v>9.9480693951685026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03D6FA-ACA2-4147-A1EE-47910C8B49DE}">
          <x14:formula1>
            <xm:f>'Student Details'!$A$2:$A$40</xm:f>
          </x14:formula1>
          <xm:sqref>A2 B3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6F64-5C2B-4746-AB75-8D8DAF7833A5}">
  <dimension ref="A3:L68"/>
  <sheetViews>
    <sheetView tabSelected="1" zoomScale="96" zoomScaleNormal="96" workbookViewId="0">
      <selection activeCell="D63" sqref="D63"/>
    </sheetView>
  </sheetViews>
  <sheetFormatPr defaultRowHeight="14.5" x14ac:dyDescent="0.35"/>
  <cols>
    <col min="1" max="1" width="15.81640625" style="12" customWidth="1"/>
    <col min="2" max="2" width="22.453125" style="12" customWidth="1"/>
    <col min="3" max="3" width="2.90625" style="12" customWidth="1"/>
    <col min="4" max="4" width="16.453125" style="12" customWidth="1"/>
    <col min="5" max="6" width="8.7265625" style="12"/>
    <col min="7" max="7" width="8.1796875" style="12" customWidth="1"/>
    <col min="8" max="16384" width="8.7265625" style="12"/>
  </cols>
  <sheetData>
    <row r="3" spans="1:10" ht="15" thickBot="1" x14ac:dyDescent="0.4"/>
    <row r="4" spans="1:10" ht="15" customHeight="1" thickBot="1" x14ac:dyDescent="0.4">
      <c r="A4" s="25" t="s">
        <v>72</v>
      </c>
      <c r="B4" s="26" t="s">
        <v>6</v>
      </c>
    </row>
    <row r="5" spans="1:10" x14ac:dyDescent="0.35">
      <c r="A5" s="16" t="s">
        <v>73</v>
      </c>
      <c r="B5" s="17">
        <f>_xlfn.XLOOKUP(B4,tble_students[Student names],tble_students[StudentID])</f>
        <v>1001</v>
      </c>
    </row>
    <row r="6" spans="1:10" x14ac:dyDescent="0.35">
      <c r="A6" s="13" t="s">
        <v>57</v>
      </c>
      <c r="B6" s="14">
        <f>_xlfn.XLOOKUP(B4,tble_students[Student names],tble_students[Age])</f>
        <v>17</v>
      </c>
    </row>
    <row r="7" spans="1:10" x14ac:dyDescent="0.35">
      <c r="A7" s="13" t="s">
        <v>58</v>
      </c>
      <c r="B7" s="14" t="str">
        <f>IF(_xlfn.XLOOKUP(B4,tble_students[Student names],tble_students[Gender])=1,"Male","Female")</f>
        <v>Male</v>
      </c>
    </row>
    <row r="8" spans="1:10" x14ac:dyDescent="0.35">
      <c r="A8" s="13" t="s">
        <v>69</v>
      </c>
      <c r="B8" s="15">
        <f>_xlfn.XLOOKUP(B4,tble_students[Student names],tble_students[GPA])</f>
        <v>2.9291955916676802</v>
      </c>
    </row>
    <row r="9" spans="1:10" x14ac:dyDescent="0.35">
      <c r="A9" s="13" t="s">
        <v>74</v>
      </c>
      <c r="B9" s="15">
        <f>_xlfn.XLOOKUP(B4,tble_students[Student names],tble_students[StudyTimeWeekly])</f>
        <v>19.833722807854699</v>
      </c>
    </row>
    <row r="10" spans="1:10" x14ac:dyDescent="0.35">
      <c r="A10" s="13" t="s">
        <v>62</v>
      </c>
      <c r="B10" s="14">
        <f>_xlfn.XLOOKUP(B4,tble_students[Student names],tble_students[Absences])</f>
        <v>7</v>
      </c>
    </row>
    <row r="11" spans="1:10" ht="8" customHeight="1" x14ac:dyDescent="0.35"/>
    <row r="12" spans="1:10" ht="8" customHeight="1" thickBot="1" x14ac:dyDescent="0.4"/>
    <row r="13" spans="1:10" ht="15" thickBot="1" x14ac:dyDescent="0.4">
      <c r="A13" s="27" t="s">
        <v>75</v>
      </c>
      <c r="B13" s="28" t="s">
        <v>76</v>
      </c>
    </row>
    <row r="14" spans="1:10" ht="14" customHeight="1" x14ac:dyDescent="0.35">
      <c r="A14" s="16" t="s">
        <v>7</v>
      </c>
      <c r="B14" s="16">
        <f>SUMIFS(marks_tble[Exam points], marks_tble[Student name], B4,marks_tble[Exam name],A14)</f>
        <v>31</v>
      </c>
    </row>
    <row r="15" spans="1:10" ht="13" customHeight="1" x14ac:dyDescent="0.35">
      <c r="A15" s="13" t="s">
        <v>46</v>
      </c>
      <c r="B15" s="13">
        <f>SUMIFS(marks_tble[Exam points], marks_tble[Student name], B4,marks_tble[Exam name],A15)</f>
        <v>52</v>
      </c>
    </row>
    <row r="16" spans="1:10" ht="14" customHeight="1" thickBot="1" x14ac:dyDescent="0.5">
      <c r="A16" s="13" t="s">
        <v>48</v>
      </c>
      <c r="B16" s="13">
        <f>SUMIFS(marks_tble[Exam points], marks_tble[Student name], B4,marks_tble[Exam name],A16)</f>
        <v>48</v>
      </c>
      <c r="D16" s="30" t="s">
        <v>88</v>
      </c>
      <c r="E16" s="24" t="str" cm="1">
        <f t="array" ref="E16">_xlfn.TEXTJOIN(", ",TRUE,_xlfn._xlws.FILTER(marks_tble[Exam name],(marks_tble[Student name]=B4)*(marks_tble[Strengths/weakness]=1)))</f>
        <v>Physics, Sociology</v>
      </c>
      <c r="F16" s="22"/>
      <c r="G16" s="22"/>
      <c r="H16" s="22"/>
      <c r="I16" s="23"/>
      <c r="J16" s="31"/>
    </row>
    <row r="17" spans="1:9" x14ac:dyDescent="0.35">
      <c r="A17" s="13" t="s">
        <v>50</v>
      </c>
      <c r="B17" s="13">
        <f>SUMIFS(marks_tble[Exam points], marks_tble[Student name], B4,marks_tble[Exam name],A17)</f>
        <v>35</v>
      </c>
      <c r="D17" s="29" t="s">
        <v>92</v>
      </c>
      <c r="E17" s="20" t="str" cm="1">
        <f t="array" ref="E17">_xlfn.TEXTJOIN(", ",TRUE,_xlfn._xlws.FILTER(marks_tble[Exam name],(marks_tble[Student name]=B4)*(marks_tble[Strengths/weakness]=0)))</f>
        <v>Biology, Chemistry, Mathematics, Philosophy</v>
      </c>
      <c r="F17" s="20"/>
      <c r="G17" s="20"/>
      <c r="H17" s="21"/>
      <c r="I17" s="21"/>
    </row>
    <row r="18" spans="1:9" x14ac:dyDescent="0.35">
      <c r="A18" s="13" t="s">
        <v>52</v>
      </c>
      <c r="B18" s="13">
        <f>SUMIFS(marks_tble[Exam points], marks_tble[Student name], B4,marks_tble[Exam name],A18)</f>
        <v>69</v>
      </c>
    </row>
    <row r="19" spans="1:9" x14ac:dyDescent="0.35">
      <c r="A19" s="13" t="s">
        <v>54</v>
      </c>
      <c r="B19" s="13">
        <f>SUMIFS(marks_tble[Exam points], marks_tble[Student name], B4,marks_tble[Exam name],A19)</f>
        <v>70</v>
      </c>
    </row>
    <row r="51" spans="1:12" x14ac:dyDescent="0.35">
      <c r="A51" s="12" t="s">
        <v>81</v>
      </c>
      <c r="B51" s="12" t="s">
        <v>84</v>
      </c>
      <c r="C51" s="18">
        <f>1 -(B10/100)</f>
        <v>0.92999999999999994</v>
      </c>
      <c r="D51" s="19">
        <f>AVERAGE(B14:B19)</f>
        <v>50.833333333333336</v>
      </c>
      <c r="F51" s="12">
        <f>_xlfn.RANK.EQ(B8,tble_students[GPA],0)</f>
        <v>7</v>
      </c>
    </row>
    <row r="52" spans="1:12" x14ac:dyDescent="0.35">
      <c r="A52" s="12" t="s">
        <v>90</v>
      </c>
      <c r="B52" s="12">
        <f>COUNTIFS(marks_tble[Student name],B4,marks_tble[Strengths/weakness],1)</f>
        <v>2</v>
      </c>
      <c r="H52" s="12">
        <f>VLOOKUP(B4,tble_students[[Student names]:[Sports]],12,FALSE)</f>
        <v>0</v>
      </c>
      <c r="I52" s="12" t="str">
        <f>IF(H52=1,"Yes","No")</f>
        <v>No</v>
      </c>
      <c r="K52" s="12">
        <f>VLOOKUP(B4,tble_students[[Student names]:[Music]],13,FALSE)</f>
        <v>1</v>
      </c>
      <c r="L52" s="12" t="str">
        <f>IF(K52=1,"Yes","No")</f>
        <v>Yes</v>
      </c>
    </row>
    <row r="53" spans="1:12" x14ac:dyDescent="0.35">
      <c r="A53" s="12" t="s">
        <v>83</v>
      </c>
      <c r="B53" s="12">
        <f>COUNTIFS(marks_tble[Student name],B4,marks_tble[Strengths/weakness],0)</f>
        <v>4</v>
      </c>
    </row>
    <row r="59" spans="1:12" x14ac:dyDescent="0.35">
      <c r="F59" s="12">
        <f>VLOOKUP(B4,tble_students[[Student names]:[Extracurricular]],11,FALSE)</f>
        <v>0</v>
      </c>
      <c r="G59" s="12" t="str">
        <f>IF(F59=1,"Yes","No")</f>
        <v>No</v>
      </c>
      <c r="I59" s="12">
        <f>VLOOKUP(B4,tble_students[],16,FALSE)</f>
        <v>2</v>
      </c>
      <c r="J59" s="12" t="str">
        <f>IF(I59=1,"Excellent",IF(I59=2,"Good",IF(I59=3,"Average","Poor")))</f>
        <v>Good</v>
      </c>
    </row>
    <row r="63" spans="1:12" x14ac:dyDescent="0.35">
      <c r="B63" s="12">
        <f>VLOOKUP(B4,tble_students[[Student names]:[Tutoring]],9,FALSE)</f>
        <v>1</v>
      </c>
      <c r="D63" s="12" t="str">
        <f>IF(B63=1,"Yes","No")</f>
        <v>Yes</v>
      </c>
    </row>
    <row r="64" spans="1:12" x14ac:dyDescent="0.35">
      <c r="J64" s="12">
        <f>VLOOKUP(B4,tble_students[[Student names]:[Volunteering]],14,FALSE)</f>
        <v>0</v>
      </c>
      <c r="K64" s="12" t="str">
        <f>IF(J64=1,"Yes","No")</f>
        <v>No</v>
      </c>
    </row>
    <row r="66" spans="4:9" x14ac:dyDescent="0.35">
      <c r="D66" s="12">
        <f>VLOOKUP(B4,tble_students[[Student names]:[ParentalSupport]],10,FALSE)</f>
        <v>2</v>
      </c>
      <c r="E66" s="12" t="str">
        <f>IF(D66=1,"Low",IF(D66=2,"Medium",IF(D66=3,"High","Very High")))</f>
        <v>Medium</v>
      </c>
      <c r="H66" s="12" t="s">
        <v>96</v>
      </c>
      <c r="I66" s="12" t="s">
        <v>84</v>
      </c>
    </row>
    <row r="67" spans="4:9" x14ac:dyDescent="0.35">
      <c r="H67" s="12" t="s">
        <v>95</v>
      </c>
      <c r="I67" s="12">
        <f>COUNTIF(tble_students[Strong],"Strong")</f>
        <v>6</v>
      </c>
    </row>
    <row r="68" spans="4:9" x14ac:dyDescent="0.35">
      <c r="F68" s="12" t="s">
        <v>97</v>
      </c>
      <c r="G68" s="12">
        <f>COUNTIF(tble_students[Strong],"Weak")</f>
        <v>33</v>
      </c>
    </row>
  </sheetData>
  <sheetProtection selectLockedCells="1"/>
  <conditionalFormatting sqref="B8">
    <cfRule type="cellIs" dxfId="2" priority="3" operator="greaterThan">
      <formula>0.1</formula>
    </cfRule>
  </conditionalFormatting>
  <conditionalFormatting sqref="B9">
    <cfRule type="cellIs" dxfId="1" priority="2" operator="greaterThan">
      <formula>15</formula>
    </cfRule>
  </conditionalFormatting>
  <conditionalFormatting sqref="B10">
    <cfRule type="cellIs" dxfId="0" priority="1" operator="greaterThan">
      <formula>17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F8FA37-5D80-484D-B592-04FD75C9B613}">
          <x14:formula1>
            <xm:f>'Student Details'!$A$2:$A$40</xm:f>
          </x14:formula1>
          <xm:sqref>B4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2EEE-A8A0-4F9B-BA5F-89349D67A016}">
  <dimension ref="A1:F201"/>
  <sheetViews>
    <sheetView topLeftCell="A60" workbookViewId="0">
      <selection activeCell="G192" sqref="G192"/>
    </sheetView>
  </sheetViews>
  <sheetFormatPr defaultRowHeight="14.5" x14ac:dyDescent="0.35"/>
  <cols>
    <col min="1" max="1" width="11.54296875" bestFit="1" customWidth="1"/>
    <col min="2" max="2" width="15.453125" bestFit="1" customWidth="1"/>
    <col min="3" max="3" width="12.81640625" bestFit="1" customWidth="1"/>
    <col min="4" max="4" width="11.90625" bestFit="1" customWidth="1"/>
    <col min="5" max="5" width="13.36328125" bestFit="1" customWidth="1"/>
    <col min="6" max="6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7</v>
      </c>
      <c r="D2" s="8">
        <v>42526</v>
      </c>
      <c r="E2">
        <v>31</v>
      </c>
      <c r="F2">
        <v>0</v>
      </c>
    </row>
    <row r="3" spans="1:6" x14ac:dyDescent="0.35">
      <c r="A3">
        <v>1001</v>
      </c>
      <c r="B3" t="s">
        <v>6</v>
      </c>
      <c r="C3" t="s">
        <v>46</v>
      </c>
      <c r="D3" s="8">
        <v>42536</v>
      </c>
      <c r="E3">
        <v>52</v>
      </c>
      <c r="F3">
        <v>0</v>
      </c>
    </row>
    <row r="4" spans="1:6" x14ac:dyDescent="0.35">
      <c r="A4">
        <v>1001</v>
      </c>
      <c r="B4" t="s">
        <v>6</v>
      </c>
      <c r="C4" t="s">
        <v>48</v>
      </c>
      <c r="D4" s="8">
        <v>42580</v>
      </c>
      <c r="E4">
        <v>48</v>
      </c>
      <c r="F4">
        <v>0</v>
      </c>
    </row>
    <row r="5" spans="1:6" x14ac:dyDescent="0.35">
      <c r="A5">
        <v>1001</v>
      </c>
      <c r="B5" t="s">
        <v>6</v>
      </c>
      <c r="C5" t="s">
        <v>50</v>
      </c>
      <c r="D5" s="8">
        <v>42523</v>
      </c>
      <c r="E5">
        <v>35</v>
      </c>
      <c r="F5">
        <v>0</v>
      </c>
    </row>
    <row r="6" spans="1:6" x14ac:dyDescent="0.35">
      <c r="A6">
        <v>1001</v>
      </c>
      <c r="B6" t="s">
        <v>6</v>
      </c>
      <c r="C6" t="s">
        <v>52</v>
      </c>
      <c r="D6" s="8">
        <v>42531</v>
      </c>
      <c r="E6">
        <v>69</v>
      </c>
      <c r="F6">
        <v>1</v>
      </c>
    </row>
    <row r="7" spans="1:6" x14ac:dyDescent="0.35">
      <c r="A7">
        <v>1001</v>
      </c>
      <c r="B7" t="s">
        <v>6</v>
      </c>
      <c r="C7" t="s">
        <v>54</v>
      </c>
      <c r="D7" s="8">
        <v>42542</v>
      </c>
      <c r="E7">
        <v>70</v>
      </c>
      <c r="F7">
        <v>1</v>
      </c>
    </row>
    <row r="8" spans="1:6" x14ac:dyDescent="0.35">
      <c r="A8">
        <v>1002</v>
      </c>
      <c r="B8" t="s">
        <v>9</v>
      </c>
      <c r="C8" t="s">
        <v>7</v>
      </c>
      <c r="D8" s="8">
        <v>42526</v>
      </c>
      <c r="E8">
        <v>43</v>
      </c>
      <c r="F8">
        <v>0</v>
      </c>
    </row>
    <row r="9" spans="1:6" x14ac:dyDescent="0.35">
      <c r="A9">
        <v>1002</v>
      </c>
      <c r="B9" t="s">
        <v>9</v>
      </c>
      <c r="C9" t="s">
        <v>46</v>
      </c>
      <c r="D9" s="8">
        <v>42536</v>
      </c>
      <c r="E9">
        <v>20</v>
      </c>
      <c r="F9">
        <v>0</v>
      </c>
    </row>
    <row r="10" spans="1:6" x14ac:dyDescent="0.35">
      <c r="A10">
        <v>1002</v>
      </c>
      <c r="B10" t="s">
        <v>9</v>
      </c>
      <c r="C10" t="s">
        <v>48</v>
      </c>
      <c r="D10" s="8">
        <v>42580</v>
      </c>
      <c r="E10">
        <v>5</v>
      </c>
      <c r="F10">
        <v>0</v>
      </c>
    </row>
    <row r="11" spans="1:6" x14ac:dyDescent="0.35">
      <c r="A11">
        <v>1002</v>
      </c>
      <c r="B11" t="s">
        <v>9</v>
      </c>
      <c r="C11" t="s">
        <v>50</v>
      </c>
      <c r="D11" s="8">
        <v>42523</v>
      </c>
      <c r="E11">
        <v>66</v>
      </c>
      <c r="F11">
        <v>1</v>
      </c>
    </row>
    <row r="12" spans="1:6" x14ac:dyDescent="0.35">
      <c r="A12">
        <v>1002</v>
      </c>
      <c r="B12" t="s">
        <v>9</v>
      </c>
      <c r="C12" t="s">
        <v>52</v>
      </c>
      <c r="D12" s="8">
        <v>42531</v>
      </c>
      <c r="E12">
        <v>95</v>
      </c>
      <c r="F12">
        <v>1</v>
      </c>
    </row>
    <row r="13" spans="1:6" x14ac:dyDescent="0.35">
      <c r="A13">
        <v>1002</v>
      </c>
      <c r="B13" t="s">
        <v>9</v>
      </c>
      <c r="C13" t="s">
        <v>54</v>
      </c>
      <c r="D13" s="8">
        <v>42542</v>
      </c>
      <c r="E13">
        <v>37</v>
      </c>
      <c r="F13">
        <v>0</v>
      </c>
    </row>
    <row r="14" spans="1:6" x14ac:dyDescent="0.35">
      <c r="A14">
        <v>1003</v>
      </c>
      <c r="B14" t="s">
        <v>10</v>
      </c>
      <c r="C14" t="s">
        <v>7</v>
      </c>
      <c r="D14" s="8">
        <v>42526</v>
      </c>
      <c r="E14">
        <v>81</v>
      </c>
      <c r="F14">
        <v>1</v>
      </c>
    </row>
    <row r="15" spans="1:6" x14ac:dyDescent="0.35">
      <c r="A15">
        <v>1003</v>
      </c>
      <c r="B15" t="s">
        <v>10</v>
      </c>
      <c r="C15" t="s">
        <v>46</v>
      </c>
      <c r="D15" s="8">
        <v>42536</v>
      </c>
      <c r="E15">
        <v>32</v>
      </c>
      <c r="F15">
        <v>0</v>
      </c>
    </row>
    <row r="16" spans="1:6" x14ac:dyDescent="0.35">
      <c r="A16">
        <v>1003</v>
      </c>
      <c r="B16" t="s">
        <v>10</v>
      </c>
      <c r="C16" t="s">
        <v>48</v>
      </c>
      <c r="D16" s="8">
        <v>42580</v>
      </c>
      <c r="E16">
        <v>7</v>
      </c>
      <c r="F16">
        <v>0</v>
      </c>
    </row>
    <row r="17" spans="1:6" x14ac:dyDescent="0.35">
      <c r="A17">
        <v>1003</v>
      </c>
      <c r="B17" t="s">
        <v>10</v>
      </c>
      <c r="C17" t="s">
        <v>50</v>
      </c>
      <c r="D17" s="8">
        <v>42523</v>
      </c>
      <c r="E17">
        <v>29</v>
      </c>
      <c r="F17">
        <v>0</v>
      </c>
    </row>
    <row r="18" spans="1:6" x14ac:dyDescent="0.35">
      <c r="A18">
        <v>1003</v>
      </c>
      <c r="B18" t="s">
        <v>10</v>
      </c>
      <c r="C18" t="s">
        <v>52</v>
      </c>
      <c r="D18" s="8">
        <v>42531</v>
      </c>
      <c r="E18">
        <v>33</v>
      </c>
      <c r="F18">
        <v>0</v>
      </c>
    </row>
    <row r="19" spans="1:6" x14ac:dyDescent="0.35">
      <c r="A19">
        <v>1003</v>
      </c>
      <c r="B19" t="s">
        <v>10</v>
      </c>
      <c r="C19" t="s">
        <v>54</v>
      </c>
      <c r="D19" s="8">
        <v>42542</v>
      </c>
      <c r="E19">
        <v>68</v>
      </c>
      <c r="F19">
        <v>1</v>
      </c>
    </row>
    <row r="20" spans="1:6" x14ac:dyDescent="0.35">
      <c r="A20">
        <v>1004</v>
      </c>
      <c r="B20" t="s">
        <v>11</v>
      </c>
      <c r="C20" t="s">
        <v>7</v>
      </c>
      <c r="D20" s="8">
        <v>42526</v>
      </c>
      <c r="E20">
        <v>11</v>
      </c>
      <c r="F20">
        <v>0</v>
      </c>
    </row>
    <row r="21" spans="1:6" x14ac:dyDescent="0.35">
      <c r="A21">
        <v>1004</v>
      </c>
      <c r="B21" t="s">
        <v>11</v>
      </c>
      <c r="C21" t="s">
        <v>46</v>
      </c>
      <c r="D21" s="8">
        <v>42536</v>
      </c>
      <c r="E21">
        <v>19</v>
      </c>
      <c r="F21">
        <v>0</v>
      </c>
    </row>
    <row r="22" spans="1:6" x14ac:dyDescent="0.35">
      <c r="A22">
        <v>1004</v>
      </c>
      <c r="B22" t="s">
        <v>11</v>
      </c>
      <c r="C22" t="s">
        <v>48</v>
      </c>
      <c r="D22" s="8">
        <v>42580</v>
      </c>
      <c r="E22">
        <v>70</v>
      </c>
      <c r="F22">
        <v>1</v>
      </c>
    </row>
    <row r="23" spans="1:6" x14ac:dyDescent="0.35">
      <c r="A23">
        <v>1004</v>
      </c>
      <c r="B23" t="s">
        <v>11</v>
      </c>
      <c r="C23" t="s">
        <v>50</v>
      </c>
      <c r="D23" s="8">
        <v>42523</v>
      </c>
      <c r="E23">
        <v>91</v>
      </c>
      <c r="F23">
        <v>1</v>
      </c>
    </row>
    <row r="24" spans="1:6" x14ac:dyDescent="0.35">
      <c r="A24">
        <v>1004</v>
      </c>
      <c r="B24" t="s">
        <v>11</v>
      </c>
      <c r="C24" t="s">
        <v>52</v>
      </c>
      <c r="D24" s="8">
        <v>42531</v>
      </c>
      <c r="E24">
        <v>76</v>
      </c>
      <c r="F24">
        <v>1</v>
      </c>
    </row>
    <row r="25" spans="1:6" x14ac:dyDescent="0.35">
      <c r="A25">
        <v>1004</v>
      </c>
      <c r="B25" t="s">
        <v>11</v>
      </c>
      <c r="C25" t="s">
        <v>54</v>
      </c>
      <c r="D25" s="8">
        <v>42542</v>
      </c>
      <c r="E25">
        <v>60</v>
      </c>
      <c r="F25">
        <v>1</v>
      </c>
    </row>
    <row r="26" spans="1:6" x14ac:dyDescent="0.35">
      <c r="A26">
        <v>1005</v>
      </c>
      <c r="B26" t="s">
        <v>12</v>
      </c>
      <c r="C26" t="s">
        <v>7</v>
      </c>
      <c r="D26" s="8">
        <v>42526</v>
      </c>
      <c r="E26">
        <v>18</v>
      </c>
      <c r="F26">
        <v>0</v>
      </c>
    </row>
    <row r="27" spans="1:6" x14ac:dyDescent="0.35">
      <c r="A27">
        <v>1005</v>
      </c>
      <c r="B27" t="s">
        <v>12</v>
      </c>
      <c r="C27" t="s">
        <v>46</v>
      </c>
      <c r="D27" s="8">
        <v>42536</v>
      </c>
      <c r="E27">
        <v>61</v>
      </c>
      <c r="F27">
        <v>1</v>
      </c>
    </row>
    <row r="28" spans="1:6" x14ac:dyDescent="0.35">
      <c r="A28">
        <v>1005</v>
      </c>
      <c r="B28" t="s">
        <v>12</v>
      </c>
      <c r="C28" t="s">
        <v>48</v>
      </c>
      <c r="D28" s="8">
        <v>42580</v>
      </c>
      <c r="E28">
        <v>73</v>
      </c>
      <c r="F28">
        <v>1</v>
      </c>
    </row>
    <row r="29" spans="1:6" x14ac:dyDescent="0.35">
      <c r="A29">
        <v>1005</v>
      </c>
      <c r="B29" t="s">
        <v>12</v>
      </c>
      <c r="C29" t="s">
        <v>50</v>
      </c>
      <c r="D29" s="8">
        <v>42523</v>
      </c>
      <c r="E29">
        <v>63</v>
      </c>
      <c r="F29">
        <v>1</v>
      </c>
    </row>
    <row r="30" spans="1:6" x14ac:dyDescent="0.35">
      <c r="A30">
        <v>1005</v>
      </c>
      <c r="B30" t="s">
        <v>12</v>
      </c>
      <c r="C30" t="s">
        <v>52</v>
      </c>
      <c r="D30" s="8">
        <v>42531</v>
      </c>
      <c r="E30">
        <v>20</v>
      </c>
      <c r="F30">
        <v>0</v>
      </c>
    </row>
    <row r="31" spans="1:6" x14ac:dyDescent="0.35">
      <c r="A31">
        <v>1005</v>
      </c>
      <c r="B31" t="s">
        <v>12</v>
      </c>
      <c r="C31" t="s">
        <v>54</v>
      </c>
      <c r="D31" s="8">
        <v>42542</v>
      </c>
      <c r="E31">
        <v>98</v>
      </c>
      <c r="F31">
        <v>1</v>
      </c>
    </row>
    <row r="32" spans="1:6" x14ac:dyDescent="0.35">
      <c r="A32">
        <v>1006</v>
      </c>
      <c r="B32" t="s">
        <v>13</v>
      </c>
      <c r="C32" t="s">
        <v>7</v>
      </c>
      <c r="D32" s="8">
        <v>42526</v>
      </c>
      <c r="E32">
        <v>55</v>
      </c>
      <c r="F32">
        <v>0</v>
      </c>
    </row>
    <row r="33" spans="1:6" x14ac:dyDescent="0.35">
      <c r="A33">
        <v>1006</v>
      </c>
      <c r="B33" t="s">
        <v>13</v>
      </c>
      <c r="C33" t="s">
        <v>46</v>
      </c>
      <c r="D33" s="8">
        <v>42536</v>
      </c>
      <c r="E33">
        <v>34</v>
      </c>
      <c r="F33">
        <v>0</v>
      </c>
    </row>
    <row r="34" spans="1:6" x14ac:dyDescent="0.35">
      <c r="A34">
        <v>1006</v>
      </c>
      <c r="B34" t="s">
        <v>13</v>
      </c>
      <c r="C34" t="s">
        <v>48</v>
      </c>
      <c r="D34" s="8">
        <v>42580</v>
      </c>
      <c r="E34">
        <v>59</v>
      </c>
      <c r="F34">
        <v>0</v>
      </c>
    </row>
    <row r="35" spans="1:6" x14ac:dyDescent="0.35">
      <c r="A35">
        <v>1006</v>
      </c>
      <c r="B35" t="s">
        <v>13</v>
      </c>
      <c r="C35" t="s">
        <v>50</v>
      </c>
      <c r="D35" s="8">
        <v>42523</v>
      </c>
      <c r="E35">
        <v>16</v>
      </c>
      <c r="F35">
        <v>0</v>
      </c>
    </row>
    <row r="36" spans="1:6" x14ac:dyDescent="0.35">
      <c r="A36">
        <v>1006</v>
      </c>
      <c r="B36" t="s">
        <v>13</v>
      </c>
      <c r="C36" t="s">
        <v>52</v>
      </c>
      <c r="D36" s="8">
        <v>42531</v>
      </c>
      <c r="E36">
        <v>10</v>
      </c>
      <c r="F36">
        <v>0</v>
      </c>
    </row>
    <row r="37" spans="1:6" x14ac:dyDescent="0.35">
      <c r="A37">
        <v>1006</v>
      </c>
      <c r="B37" t="s">
        <v>13</v>
      </c>
      <c r="C37" t="s">
        <v>54</v>
      </c>
      <c r="D37" s="8">
        <v>42542</v>
      </c>
      <c r="E37">
        <v>20</v>
      </c>
      <c r="F37">
        <v>0</v>
      </c>
    </row>
    <row r="38" spans="1:6" x14ac:dyDescent="0.35">
      <c r="A38">
        <v>1007</v>
      </c>
      <c r="B38" t="s">
        <v>14</v>
      </c>
      <c r="C38" t="s">
        <v>7</v>
      </c>
      <c r="D38" s="8">
        <v>42526</v>
      </c>
      <c r="E38">
        <v>38</v>
      </c>
      <c r="F38">
        <v>0</v>
      </c>
    </row>
    <row r="39" spans="1:6" x14ac:dyDescent="0.35">
      <c r="A39">
        <v>1007</v>
      </c>
      <c r="B39" t="s">
        <v>14</v>
      </c>
      <c r="C39" t="s">
        <v>46</v>
      </c>
      <c r="D39" s="8">
        <v>42536</v>
      </c>
      <c r="E39">
        <v>9</v>
      </c>
      <c r="F39">
        <v>0</v>
      </c>
    </row>
    <row r="40" spans="1:6" x14ac:dyDescent="0.35">
      <c r="A40">
        <v>1007</v>
      </c>
      <c r="B40" t="s">
        <v>14</v>
      </c>
      <c r="C40" t="s">
        <v>48</v>
      </c>
      <c r="D40" s="8">
        <v>42580</v>
      </c>
      <c r="E40">
        <v>23</v>
      </c>
      <c r="F40">
        <v>0</v>
      </c>
    </row>
    <row r="41" spans="1:6" x14ac:dyDescent="0.35">
      <c r="A41">
        <v>1007</v>
      </c>
      <c r="B41" t="s">
        <v>14</v>
      </c>
      <c r="C41" t="s">
        <v>50</v>
      </c>
      <c r="D41" s="8">
        <v>42523</v>
      </c>
      <c r="E41">
        <v>10</v>
      </c>
      <c r="F41">
        <v>0</v>
      </c>
    </row>
    <row r="42" spans="1:6" x14ac:dyDescent="0.35">
      <c r="A42">
        <v>1007</v>
      </c>
      <c r="B42" t="s">
        <v>14</v>
      </c>
      <c r="C42" t="s">
        <v>52</v>
      </c>
      <c r="D42" s="8">
        <v>42531</v>
      </c>
      <c r="E42">
        <v>72</v>
      </c>
      <c r="F42">
        <v>1</v>
      </c>
    </row>
    <row r="43" spans="1:6" x14ac:dyDescent="0.35">
      <c r="A43">
        <v>1007</v>
      </c>
      <c r="B43" t="s">
        <v>14</v>
      </c>
      <c r="C43" t="s">
        <v>54</v>
      </c>
      <c r="D43" s="8">
        <v>42542</v>
      </c>
      <c r="E43">
        <v>32</v>
      </c>
      <c r="F43">
        <v>0</v>
      </c>
    </row>
    <row r="44" spans="1:6" x14ac:dyDescent="0.35">
      <c r="A44">
        <v>1008</v>
      </c>
      <c r="B44" t="s">
        <v>15</v>
      </c>
      <c r="C44" t="s">
        <v>7</v>
      </c>
      <c r="D44" s="8">
        <v>42526</v>
      </c>
      <c r="E44">
        <v>16</v>
      </c>
      <c r="F44">
        <v>0</v>
      </c>
    </row>
    <row r="45" spans="1:6" x14ac:dyDescent="0.35">
      <c r="A45">
        <v>1008</v>
      </c>
      <c r="B45" t="s">
        <v>15</v>
      </c>
      <c r="C45" t="s">
        <v>46</v>
      </c>
      <c r="D45" s="8">
        <v>42536</v>
      </c>
      <c r="E45">
        <v>22</v>
      </c>
      <c r="F45">
        <v>0</v>
      </c>
    </row>
    <row r="46" spans="1:6" x14ac:dyDescent="0.35">
      <c r="A46">
        <v>1008</v>
      </c>
      <c r="B46" t="s">
        <v>15</v>
      </c>
      <c r="C46" t="s">
        <v>48</v>
      </c>
      <c r="D46" s="8">
        <v>42580</v>
      </c>
      <c r="E46">
        <v>72</v>
      </c>
      <c r="F46">
        <v>1</v>
      </c>
    </row>
    <row r="47" spans="1:6" x14ac:dyDescent="0.35">
      <c r="A47">
        <v>1008</v>
      </c>
      <c r="B47" t="s">
        <v>15</v>
      </c>
      <c r="C47" t="s">
        <v>50</v>
      </c>
      <c r="D47" s="8">
        <v>42523</v>
      </c>
      <c r="E47">
        <v>23</v>
      </c>
      <c r="F47">
        <v>0</v>
      </c>
    </row>
    <row r="48" spans="1:6" x14ac:dyDescent="0.35">
      <c r="A48">
        <v>1008</v>
      </c>
      <c r="B48" t="s">
        <v>15</v>
      </c>
      <c r="C48" t="s">
        <v>52</v>
      </c>
      <c r="D48" s="8">
        <v>42531</v>
      </c>
      <c r="E48">
        <v>80</v>
      </c>
      <c r="F48">
        <v>1</v>
      </c>
    </row>
    <row r="49" spans="1:6" x14ac:dyDescent="0.35">
      <c r="A49">
        <v>1008</v>
      </c>
      <c r="B49" t="s">
        <v>15</v>
      </c>
      <c r="C49" t="s">
        <v>54</v>
      </c>
      <c r="D49" s="8">
        <v>42542</v>
      </c>
      <c r="E49">
        <v>40</v>
      </c>
      <c r="F49">
        <v>0</v>
      </c>
    </row>
    <row r="50" spans="1:6" x14ac:dyDescent="0.35">
      <c r="A50">
        <v>1009</v>
      </c>
      <c r="B50" t="s">
        <v>16</v>
      </c>
      <c r="C50" t="s">
        <v>7</v>
      </c>
      <c r="D50" s="8">
        <v>42526</v>
      </c>
      <c r="E50">
        <v>73</v>
      </c>
      <c r="F50">
        <v>1</v>
      </c>
    </row>
    <row r="51" spans="1:6" x14ac:dyDescent="0.35">
      <c r="A51">
        <v>1009</v>
      </c>
      <c r="B51" t="s">
        <v>16</v>
      </c>
      <c r="C51" t="s">
        <v>46</v>
      </c>
      <c r="D51" s="8">
        <v>42536</v>
      </c>
      <c r="E51">
        <v>46</v>
      </c>
      <c r="F51">
        <v>0</v>
      </c>
    </row>
    <row r="52" spans="1:6" x14ac:dyDescent="0.35">
      <c r="A52">
        <v>1009</v>
      </c>
      <c r="B52" t="s">
        <v>16</v>
      </c>
      <c r="C52" t="s">
        <v>48</v>
      </c>
      <c r="D52" s="8">
        <v>42580</v>
      </c>
      <c r="E52">
        <v>31</v>
      </c>
      <c r="F52">
        <v>0</v>
      </c>
    </row>
    <row r="53" spans="1:6" x14ac:dyDescent="0.35">
      <c r="A53">
        <v>1009</v>
      </c>
      <c r="B53" t="s">
        <v>16</v>
      </c>
      <c r="C53" t="s">
        <v>50</v>
      </c>
      <c r="D53" s="8">
        <v>42523</v>
      </c>
      <c r="E53">
        <v>72</v>
      </c>
      <c r="F53">
        <v>1</v>
      </c>
    </row>
    <row r="54" spans="1:6" x14ac:dyDescent="0.35">
      <c r="A54">
        <v>1009</v>
      </c>
      <c r="B54" t="s">
        <v>16</v>
      </c>
      <c r="C54" t="s">
        <v>52</v>
      </c>
      <c r="D54" s="8">
        <v>42531</v>
      </c>
      <c r="E54">
        <v>22</v>
      </c>
      <c r="F54">
        <v>0</v>
      </c>
    </row>
    <row r="55" spans="1:6" x14ac:dyDescent="0.35">
      <c r="A55">
        <v>1009</v>
      </c>
      <c r="B55" t="s">
        <v>16</v>
      </c>
      <c r="C55" t="s">
        <v>54</v>
      </c>
      <c r="D55" s="8">
        <v>42542</v>
      </c>
      <c r="E55">
        <v>97</v>
      </c>
      <c r="F55">
        <v>1</v>
      </c>
    </row>
    <row r="56" spans="1:6" x14ac:dyDescent="0.35">
      <c r="A56">
        <v>1010</v>
      </c>
      <c r="B56" t="s">
        <v>17</v>
      </c>
      <c r="C56" t="s">
        <v>7</v>
      </c>
      <c r="D56" s="8">
        <v>42526</v>
      </c>
      <c r="E56">
        <v>16</v>
      </c>
      <c r="F56">
        <v>0</v>
      </c>
    </row>
    <row r="57" spans="1:6" x14ac:dyDescent="0.35">
      <c r="A57">
        <v>1010</v>
      </c>
      <c r="B57" t="s">
        <v>17</v>
      </c>
      <c r="C57" t="s">
        <v>46</v>
      </c>
      <c r="D57" s="8">
        <v>42536</v>
      </c>
      <c r="E57">
        <v>100</v>
      </c>
      <c r="F57">
        <v>1</v>
      </c>
    </row>
    <row r="58" spans="1:6" x14ac:dyDescent="0.35">
      <c r="A58">
        <v>1010</v>
      </c>
      <c r="B58" t="s">
        <v>17</v>
      </c>
      <c r="C58" t="s">
        <v>48</v>
      </c>
      <c r="D58" s="8">
        <v>42580</v>
      </c>
      <c r="E58">
        <v>74</v>
      </c>
      <c r="F58">
        <v>1</v>
      </c>
    </row>
    <row r="59" spans="1:6" x14ac:dyDescent="0.35">
      <c r="A59">
        <v>1010</v>
      </c>
      <c r="B59" t="s">
        <v>17</v>
      </c>
      <c r="C59" t="s">
        <v>50</v>
      </c>
      <c r="D59" s="8">
        <v>42523</v>
      </c>
      <c r="E59">
        <v>93</v>
      </c>
      <c r="F59">
        <v>1</v>
      </c>
    </row>
    <row r="60" spans="1:6" x14ac:dyDescent="0.35">
      <c r="A60">
        <v>1010</v>
      </c>
      <c r="B60" t="s">
        <v>17</v>
      </c>
      <c r="C60" t="s">
        <v>52</v>
      </c>
      <c r="D60" s="8">
        <v>42531</v>
      </c>
      <c r="E60">
        <v>8</v>
      </c>
      <c r="F60">
        <v>0</v>
      </c>
    </row>
    <row r="61" spans="1:6" x14ac:dyDescent="0.35">
      <c r="A61">
        <v>1010</v>
      </c>
      <c r="B61" t="s">
        <v>17</v>
      </c>
      <c r="C61" t="s">
        <v>54</v>
      </c>
      <c r="D61" s="8">
        <v>42542</v>
      </c>
      <c r="E61">
        <v>1</v>
      </c>
      <c r="F61">
        <v>0</v>
      </c>
    </row>
    <row r="62" spans="1:6" x14ac:dyDescent="0.35">
      <c r="A62">
        <v>1011</v>
      </c>
      <c r="B62" t="s">
        <v>18</v>
      </c>
      <c r="C62" t="s">
        <v>7</v>
      </c>
      <c r="D62" s="8">
        <v>42526</v>
      </c>
      <c r="E62">
        <v>23</v>
      </c>
      <c r="F62">
        <v>0</v>
      </c>
    </row>
    <row r="63" spans="1:6" x14ac:dyDescent="0.35">
      <c r="A63">
        <v>1011</v>
      </c>
      <c r="B63" t="s">
        <v>18</v>
      </c>
      <c r="C63" t="s">
        <v>46</v>
      </c>
      <c r="D63" s="8">
        <v>42536</v>
      </c>
      <c r="E63">
        <v>92</v>
      </c>
      <c r="F63">
        <v>1</v>
      </c>
    </row>
    <row r="64" spans="1:6" x14ac:dyDescent="0.35">
      <c r="A64">
        <v>1011</v>
      </c>
      <c r="B64" t="s">
        <v>18</v>
      </c>
      <c r="C64" t="s">
        <v>48</v>
      </c>
      <c r="D64" s="8">
        <v>42580</v>
      </c>
      <c r="E64">
        <v>91</v>
      </c>
      <c r="F64">
        <v>1</v>
      </c>
    </row>
    <row r="65" spans="1:6" x14ac:dyDescent="0.35">
      <c r="A65">
        <v>1011</v>
      </c>
      <c r="B65" t="s">
        <v>18</v>
      </c>
      <c r="C65" t="s">
        <v>50</v>
      </c>
      <c r="D65" s="8">
        <v>42523</v>
      </c>
      <c r="E65">
        <v>10</v>
      </c>
      <c r="F65">
        <v>0</v>
      </c>
    </row>
    <row r="66" spans="1:6" x14ac:dyDescent="0.35">
      <c r="A66">
        <v>1011</v>
      </c>
      <c r="B66" t="s">
        <v>18</v>
      </c>
      <c r="C66" t="s">
        <v>52</v>
      </c>
      <c r="D66" s="8">
        <v>42531</v>
      </c>
      <c r="E66">
        <v>100</v>
      </c>
      <c r="F66">
        <v>1</v>
      </c>
    </row>
    <row r="67" spans="1:6" x14ac:dyDescent="0.35">
      <c r="A67">
        <v>1011</v>
      </c>
      <c r="B67" t="s">
        <v>18</v>
      </c>
      <c r="C67" t="s">
        <v>54</v>
      </c>
      <c r="D67" s="8">
        <v>42542</v>
      </c>
      <c r="E67">
        <v>6</v>
      </c>
      <c r="F67">
        <v>0</v>
      </c>
    </row>
    <row r="68" spans="1:6" x14ac:dyDescent="0.35">
      <c r="A68">
        <v>1012</v>
      </c>
      <c r="B68" t="s">
        <v>19</v>
      </c>
      <c r="C68" t="s">
        <v>7</v>
      </c>
      <c r="D68" s="8">
        <v>42526</v>
      </c>
      <c r="E68">
        <v>55</v>
      </c>
      <c r="F68">
        <v>0</v>
      </c>
    </row>
    <row r="69" spans="1:6" x14ac:dyDescent="0.35">
      <c r="A69">
        <v>1012</v>
      </c>
      <c r="B69" t="s">
        <v>19</v>
      </c>
      <c r="C69" t="s">
        <v>46</v>
      </c>
      <c r="D69" s="8">
        <v>42536</v>
      </c>
      <c r="E69">
        <v>1</v>
      </c>
      <c r="F69">
        <v>0</v>
      </c>
    </row>
    <row r="70" spans="1:6" x14ac:dyDescent="0.35">
      <c r="A70">
        <v>1012</v>
      </c>
      <c r="B70" t="s">
        <v>19</v>
      </c>
      <c r="C70" t="s">
        <v>48</v>
      </c>
      <c r="D70" s="8">
        <v>42580</v>
      </c>
      <c r="E70">
        <v>53</v>
      </c>
      <c r="F70">
        <v>0</v>
      </c>
    </row>
    <row r="71" spans="1:6" x14ac:dyDescent="0.35">
      <c r="A71">
        <v>1012</v>
      </c>
      <c r="B71" t="s">
        <v>19</v>
      </c>
      <c r="C71" t="s">
        <v>50</v>
      </c>
      <c r="D71" s="8">
        <v>42523</v>
      </c>
      <c r="E71">
        <v>99</v>
      </c>
      <c r="F71">
        <v>1</v>
      </c>
    </row>
    <row r="72" spans="1:6" x14ac:dyDescent="0.35">
      <c r="A72">
        <v>1012</v>
      </c>
      <c r="B72" t="s">
        <v>19</v>
      </c>
      <c r="C72" t="s">
        <v>52</v>
      </c>
      <c r="D72" s="8">
        <v>42531</v>
      </c>
      <c r="E72">
        <v>49</v>
      </c>
      <c r="F72">
        <v>0</v>
      </c>
    </row>
    <row r="73" spans="1:6" x14ac:dyDescent="0.35">
      <c r="A73">
        <v>1012</v>
      </c>
      <c r="B73" t="s">
        <v>19</v>
      </c>
      <c r="C73" t="s">
        <v>54</v>
      </c>
      <c r="D73" s="8">
        <v>42542</v>
      </c>
      <c r="E73">
        <v>39</v>
      </c>
      <c r="F73">
        <v>0</v>
      </c>
    </row>
    <row r="74" spans="1:6" x14ac:dyDescent="0.35">
      <c r="A74">
        <v>1013</v>
      </c>
      <c r="B74" t="s">
        <v>20</v>
      </c>
      <c r="C74" t="s">
        <v>7</v>
      </c>
      <c r="D74" s="8">
        <v>42526</v>
      </c>
      <c r="E74">
        <v>71</v>
      </c>
      <c r="F74">
        <v>1</v>
      </c>
    </row>
    <row r="75" spans="1:6" x14ac:dyDescent="0.35">
      <c r="A75">
        <v>1013</v>
      </c>
      <c r="B75" t="s">
        <v>20</v>
      </c>
      <c r="C75" t="s">
        <v>46</v>
      </c>
      <c r="D75" s="8">
        <v>42536</v>
      </c>
      <c r="E75">
        <v>84</v>
      </c>
      <c r="F75">
        <v>1</v>
      </c>
    </row>
    <row r="76" spans="1:6" x14ac:dyDescent="0.35">
      <c r="A76">
        <v>1013</v>
      </c>
      <c r="B76" t="s">
        <v>20</v>
      </c>
      <c r="C76" t="s">
        <v>48</v>
      </c>
      <c r="D76" s="8">
        <v>42580</v>
      </c>
      <c r="E76">
        <v>56</v>
      </c>
      <c r="F76">
        <v>0</v>
      </c>
    </row>
    <row r="77" spans="1:6" x14ac:dyDescent="0.35">
      <c r="A77">
        <v>1013</v>
      </c>
      <c r="B77" t="s">
        <v>20</v>
      </c>
      <c r="C77" t="s">
        <v>50</v>
      </c>
      <c r="D77" s="8">
        <v>42523</v>
      </c>
      <c r="E77">
        <v>78</v>
      </c>
      <c r="F77">
        <v>1</v>
      </c>
    </row>
    <row r="78" spans="1:6" x14ac:dyDescent="0.35">
      <c r="A78">
        <v>1013</v>
      </c>
      <c r="B78" t="s">
        <v>20</v>
      </c>
      <c r="C78" t="s">
        <v>52</v>
      </c>
      <c r="D78" s="8">
        <v>42531</v>
      </c>
      <c r="E78">
        <v>70</v>
      </c>
      <c r="F78">
        <v>1</v>
      </c>
    </row>
    <row r="79" spans="1:6" x14ac:dyDescent="0.35">
      <c r="A79">
        <v>1013</v>
      </c>
      <c r="B79" t="s">
        <v>20</v>
      </c>
      <c r="C79" t="s">
        <v>54</v>
      </c>
      <c r="D79" s="8">
        <v>42542</v>
      </c>
      <c r="E79">
        <v>68</v>
      </c>
      <c r="F79">
        <v>1</v>
      </c>
    </row>
    <row r="80" spans="1:6" x14ac:dyDescent="0.35">
      <c r="A80">
        <v>1014</v>
      </c>
      <c r="B80" t="s">
        <v>21</v>
      </c>
      <c r="C80" t="s">
        <v>7</v>
      </c>
      <c r="D80" s="8">
        <v>42526</v>
      </c>
      <c r="E80">
        <v>12</v>
      </c>
      <c r="F80">
        <v>0</v>
      </c>
    </row>
    <row r="81" spans="1:6" x14ac:dyDescent="0.35">
      <c r="A81">
        <v>1014</v>
      </c>
      <c r="B81" t="s">
        <v>21</v>
      </c>
      <c r="C81" t="s">
        <v>46</v>
      </c>
      <c r="D81" s="8">
        <v>42536</v>
      </c>
      <c r="E81">
        <v>63</v>
      </c>
      <c r="F81">
        <v>1</v>
      </c>
    </row>
    <row r="82" spans="1:6" x14ac:dyDescent="0.35">
      <c r="A82">
        <v>1014</v>
      </c>
      <c r="B82" t="s">
        <v>21</v>
      </c>
      <c r="C82" t="s">
        <v>48</v>
      </c>
      <c r="D82" s="8">
        <v>42580</v>
      </c>
      <c r="E82">
        <v>53</v>
      </c>
      <c r="F82">
        <v>0</v>
      </c>
    </row>
    <row r="83" spans="1:6" x14ac:dyDescent="0.35">
      <c r="A83">
        <v>1014</v>
      </c>
      <c r="B83" t="s">
        <v>21</v>
      </c>
      <c r="C83" t="s">
        <v>50</v>
      </c>
      <c r="D83" s="8">
        <v>42523</v>
      </c>
      <c r="E83">
        <v>81</v>
      </c>
      <c r="F83">
        <v>1</v>
      </c>
    </row>
    <row r="84" spans="1:6" x14ac:dyDescent="0.35">
      <c r="A84">
        <v>1014</v>
      </c>
      <c r="B84" t="s">
        <v>21</v>
      </c>
      <c r="C84" t="s">
        <v>52</v>
      </c>
      <c r="D84" s="8">
        <v>42531</v>
      </c>
      <c r="E84">
        <v>86</v>
      </c>
      <c r="F84">
        <v>1</v>
      </c>
    </row>
    <row r="85" spans="1:6" x14ac:dyDescent="0.35">
      <c r="A85">
        <v>1014</v>
      </c>
      <c r="B85" t="s">
        <v>21</v>
      </c>
      <c r="C85" t="s">
        <v>54</v>
      </c>
      <c r="D85" s="8">
        <v>42542</v>
      </c>
      <c r="E85">
        <v>37</v>
      </c>
      <c r="F85">
        <v>0</v>
      </c>
    </row>
    <row r="86" spans="1:6" x14ac:dyDescent="0.35">
      <c r="A86">
        <v>1015</v>
      </c>
      <c r="B86" t="s">
        <v>22</v>
      </c>
      <c r="C86" t="s">
        <v>7</v>
      </c>
      <c r="D86" s="8">
        <v>42526</v>
      </c>
      <c r="E86">
        <v>77</v>
      </c>
      <c r="F86">
        <v>1</v>
      </c>
    </row>
    <row r="87" spans="1:6" x14ac:dyDescent="0.35">
      <c r="A87">
        <v>1015</v>
      </c>
      <c r="B87" t="s">
        <v>22</v>
      </c>
      <c r="C87" t="s">
        <v>46</v>
      </c>
      <c r="D87" s="8">
        <v>42536</v>
      </c>
      <c r="E87">
        <v>59</v>
      </c>
      <c r="F87">
        <v>0</v>
      </c>
    </row>
    <row r="88" spans="1:6" x14ac:dyDescent="0.35">
      <c r="A88">
        <v>1015</v>
      </c>
      <c r="B88" t="s">
        <v>22</v>
      </c>
      <c r="C88" t="s">
        <v>48</v>
      </c>
      <c r="D88" s="8">
        <v>42580</v>
      </c>
      <c r="E88">
        <v>100</v>
      </c>
      <c r="F88">
        <v>1</v>
      </c>
    </row>
    <row r="89" spans="1:6" x14ac:dyDescent="0.35">
      <c r="A89">
        <v>1015</v>
      </c>
      <c r="B89" t="s">
        <v>22</v>
      </c>
      <c r="C89" t="s">
        <v>50</v>
      </c>
      <c r="D89" s="8">
        <v>42523</v>
      </c>
      <c r="E89">
        <v>40</v>
      </c>
      <c r="F89">
        <v>0</v>
      </c>
    </row>
    <row r="90" spans="1:6" x14ac:dyDescent="0.35">
      <c r="A90">
        <v>1015</v>
      </c>
      <c r="B90" t="s">
        <v>22</v>
      </c>
      <c r="C90" t="s">
        <v>52</v>
      </c>
      <c r="D90" s="8">
        <v>42531</v>
      </c>
      <c r="E90">
        <v>15</v>
      </c>
      <c r="F90">
        <v>0</v>
      </c>
    </row>
    <row r="91" spans="1:6" x14ac:dyDescent="0.35">
      <c r="A91">
        <v>1015</v>
      </c>
      <c r="B91" t="s">
        <v>22</v>
      </c>
      <c r="C91" t="s">
        <v>54</v>
      </c>
      <c r="D91" s="8">
        <v>42542</v>
      </c>
      <c r="E91">
        <v>37</v>
      </c>
      <c r="F91">
        <v>0</v>
      </c>
    </row>
    <row r="92" spans="1:6" x14ac:dyDescent="0.35">
      <c r="A92">
        <v>1016</v>
      </c>
      <c r="B92" t="s">
        <v>23</v>
      </c>
      <c r="C92" t="s">
        <v>7</v>
      </c>
      <c r="D92" s="8">
        <v>42526</v>
      </c>
      <c r="E92">
        <v>19</v>
      </c>
      <c r="F92">
        <v>0</v>
      </c>
    </row>
    <row r="93" spans="1:6" x14ac:dyDescent="0.35">
      <c r="A93">
        <v>1016</v>
      </c>
      <c r="B93" t="s">
        <v>23</v>
      </c>
      <c r="C93" t="s">
        <v>46</v>
      </c>
      <c r="D93" s="8">
        <v>42536</v>
      </c>
      <c r="E93">
        <v>61</v>
      </c>
      <c r="F93">
        <v>1</v>
      </c>
    </row>
    <row r="94" spans="1:6" x14ac:dyDescent="0.35">
      <c r="A94">
        <v>1016</v>
      </c>
      <c r="B94" t="s">
        <v>23</v>
      </c>
      <c r="C94" t="s">
        <v>48</v>
      </c>
      <c r="D94" s="8">
        <v>42580</v>
      </c>
      <c r="E94">
        <v>50</v>
      </c>
      <c r="F94">
        <v>0</v>
      </c>
    </row>
    <row r="95" spans="1:6" x14ac:dyDescent="0.35">
      <c r="A95">
        <v>1016</v>
      </c>
      <c r="B95" t="s">
        <v>23</v>
      </c>
      <c r="C95" t="s">
        <v>50</v>
      </c>
      <c r="D95" s="8">
        <v>42523</v>
      </c>
      <c r="E95">
        <v>23</v>
      </c>
      <c r="F95">
        <v>0</v>
      </c>
    </row>
    <row r="96" spans="1:6" x14ac:dyDescent="0.35">
      <c r="A96">
        <v>1016</v>
      </c>
      <c r="B96" t="s">
        <v>23</v>
      </c>
      <c r="C96" t="s">
        <v>52</v>
      </c>
      <c r="D96" s="8">
        <v>42531</v>
      </c>
      <c r="E96">
        <v>95</v>
      </c>
      <c r="F96">
        <v>1</v>
      </c>
    </row>
    <row r="97" spans="1:6" x14ac:dyDescent="0.35">
      <c r="A97">
        <v>1016</v>
      </c>
      <c r="B97" t="s">
        <v>23</v>
      </c>
      <c r="C97" t="s">
        <v>54</v>
      </c>
      <c r="D97" s="8">
        <v>42542</v>
      </c>
      <c r="E97">
        <v>90</v>
      </c>
      <c r="F97">
        <v>1</v>
      </c>
    </row>
    <row r="98" spans="1:6" x14ac:dyDescent="0.35">
      <c r="A98">
        <v>1017</v>
      </c>
      <c r="B98" t="s">
        <v>24</v>
      </c>
      <c r="C98" t="s">
        <v>7</v>
      </c>
      <c r="D98" s="8">
        <v>42526</v>
      </c>
      <c r="E98">
        <v>57</v>
      </c>
      <c r="F98">
        <v>0</v>
      </c>
    </row>
    <row r="99" spans="1:6" x14ac:dyDescent="0.35">
      <c r="A99">
        <v>1017</v>
      </c>
      <c r="B99" t="s">
        <v>24</v>
      </c>
      <c r="C99" t="s">
        <v>46</v>
      </c>
      <c r="D99" s="8">
        <v>42536</v>
      </c>
      <c r="E99">
        <v>47</v>
      </c>
      <c r="F99">
        <v>0</v>
      </c>
    </row>
    <row r="100" spans="1:6" x14ac:dyDescent="0.35">
      <c r="A100">
        <v>1017</v>
      </c>
      <c r="B100" t="s">
        <v>24</v>
      </c>
      <c r="C100" t="s">
        <v>48</v>
      </c>
      <c r="D100" s="8">
        <v>42580</v>
      </c>
      <c r="E100">
        <v>60</v>
      </c>
      <c r="F100">
        <v>1</v>
      </c>
    </row>
    <row r="101" spans="1:6" x14ac:dyDescent="0.35">
      <c r="A101">
        <v>1017</v>
      </c>
      <c r="B101" t="s">
        <v>24</v>
      </c>
      <c r="C101" t="s">
        <v>50</v>
      </c>
      <c r="D101" s="8">
        <v>42523</v>
      </c>
      <c r="E101">
        <v>65</v>
      </c>
      <c r="F101">
        <v>1</v>
      </c>
    </row>
    <row r="102" spans="1:6" x14ac:dyDescent="0.35">
      <c r="A102">
        <v>1017</v>
      </c>
      <c r="B102" t="s">
        <v>24</v>
      </c>
      <c r="C102" t="s">
        <v>52</v>
      </c>
      <c r="D102" s="8">
        <v>42531</v>
      </c>
      <c r="E102">
        <v>77</v>
      </c>
      <c r="F102">
        <v>1</v>
      </c>
    </row>
    <row r="103" spans="1:6" x14ac:dyDescent="0.35">
      <c r="A103">
        <v>1017</v>
      </c>
      <c r="B103" t="s">
        <v>24</v>
      </c>
      <c r="C103" t="s">
        <v>54</v>
      </c>
      <c r="D103" s="8">
        <v>42542</v>
      </c>
      <c r="E103">
        <v>38</v>
      </c>
      <c r="F103">
        <v>0</v>
      </c>
    </row>
    <row r="104" spans="1:6" x14ac:dyDescent="0.35">
      <c r="A104">
        <v>1018</v>
      </c>
      <c r="B104" t="s">
        <v>25</v>
      </c>
      <c r="C104" t="s">
        <v>7</v>
      </c>
      <c r="D104" s="8">
        <v>42526</v>
      </c>
      <c r="E104">
        <v>78</v>
      </c>
      <c r="F104">
        <v>1</v>
      </c>
    </row>
    <row r="105" spans="1:6" x14ac:dyDescent="0.35">
      <c r="A105">
        <v>1018</v>
      </c>
      <c r="B105" t="s">
        <v>25</v>
      </c>
      <c r="C105" t="s">
        <v>46</v>
      </c>
      <c r="D105" s="8">
        <v>42536</v>
      </c>
      <c r="E105">
        <v>27</v>
      </c>
      <c r="F105">
        <v>0</v>
      </c>
    </row>
    <row r="106" spans="1:6" x14ac:dyDescent="0.35">
      <c r="A106">
        <v>1018</v>
      </c>
      <c r="B106" t="s">
        <v>25</v>
      </c>
      <c r="C106" t="s">
        <v>48</v>
      </c>
      <c r="D106" s="8">
        <v>42580</v>
      </c>
      <c r="E106">
        <v>38</v>
      </c>
      <c r="F106">
        <v>0</v>
      </c>
    </row>
    <row r="107" spans="1:6" x14ac:dyDescent="0.35">
      <c r="A107">
        <v>1018</v>
      </c>
      <c r="B107" t="s">
        <v>25</v>
      </c>
      <c r="C107" t="s">
        <v>50</v>
      </c>
      <c r="D107" s="8">
        <v>42523</v>
      </c>
      <c r="E107">
        <v>24</v>
      </c>
      <c r="F107">
        <v>0</v>
      </c>
    </row>
    <row r="108" spans="1:6" x14ac:dyDescent="0.35">
      <c r="A108">
        <v>1018</v>
      </c>
      <c r="B108" t="s">
        <v>25</v>
      </c>
      <c r="C108" t="s">
        <v>52</v>
      </c>
      <c r="D108" s="8">
        <v>42531</v>
      </c>
      <c r="E108">
        <v>20</v>
      </c>
      <c r="F108">
        <v>0</v>
      </c>
    </row>
    <row r="109" spans="1:6" x14ac:dyDescent="0.35">
      <c r="A109">
        <v>1018</v>
      </c>
      <c r="B109" t="s">
        <v>25</v>
      </c>
      <c r="C109" t="s">
        <v>54</v>
      </c>
      <c r="D109" s="8">
        <v>42542</v>
      </c>
      <c r="E109">
        <v>87</v>
      </c>
      <c r="F109">
        <v>1</v>
      </c>
    </row>
    <row r="110" spans="1:6" x14ac:dyDescent="0.35">
      <c r="A110">
        <v>1019</v>
      </c>
      <c r="B110" t="s">
        <v>26</v>
      </c>
      <c r="C110" t="s">
        <v>7</v>
      </c>
      <c r="D110" s="8">
        <v>42526</v>
      </c>
      <c r="E110">
        <v>92</v>
      </c>
      <c r="F110">
        <v>1</v>
      </c>
    </row>
    <row r="111" spans="1:6" x14ac:dyDescent="0.35">
      <c r="A111">
        <v>1019</v>
      </c>
      <c r="B111" t="s">
        <v>26</v>
      </c>
      <c r="C111" t="s">
        <v>46</v>
      </c>
      <c r="D111" s="8">
        <v>42536</v>
      </c>
      <c r="E111">
        <v>99</v>
      </c>
      <c r="F111">
        <v>1</v>
      </c>
    </row>
    <row r="112" spans="1:6" x14ac:dyDescent="0.35">
      <c r="A112">
        <v>1019</v>
      </c>
      <c r="B112" t="s">
        <v>26</v>
      </c>
      <c r="C112" t="s">
        <v>48</v>
      </c>
      <c r="D112" s="8">
        <v>42580</v>
      </c>
      <c r="E112">
        <v>33</v>
      </c>
      <c r="F112">
        <v>0</v>
      </c>
    </row>
    <row r="113" spans="1:6" x14ac:dyDescent="0.35">
      <c r="A113">
        <v>1019</v>
      </c>
      <c r="B113" t="s">
        <v>26</v>
      </c>
      <c r="C113" t="s">
        <v>50</v>
      </c>
      <c r="D113" s="8">
        <v>42523</v>
      </c>
      <c r="E113">
        <v>62</v>
      </c>
      <c r="F113">
        <v>1</v>
      </c>
    </row>
    <row r="114" spans="1:6" x14ac:dyDescent="0.35">
      <c r="A114">
        <v>1019</v>
      </c>
      <c r="B114" t="s">
        <v>26</v>
      </c>
      <c r="C114" t="s">
        <v>52</v>
      </c>
      <c r="D114" s="8">
        <v>42531</v>
      </c>
      <c r="E114">
        <v>31</v>
      </c>
      <c r="F114">
        <v>0</v>
      </c>
    </row>
    <row r="115" spans="1:6" x14ac:dyDescent="0.35">
      <c r="A115">
        <v>1019</v>
      </c>
      <c r="B115" t="s">
        <v>26</v>
      </c>
      <c r="C115" t="s">
        <v>54</v>
      </c>
      <c r="D115" s="8">
        <v>42542</v>
      </c>
      <c r="E115">
        <v>45</v>
      </c>
      <c r="F115">
        <v>0</v>
      </c>
    </row>
    <row r="116" spans="1:6" x14ac:dyDescent="0.35">
      <c r="A116">
        <v>1020</v>
      </c>
      <c r="B116" t="s">
        <v>27</v>
      </c>
      <c r="C116" t="s">
        <v>7</v>
      </c>
      <c r="D116" s="8">
        <v>42526</v>
      </c>
      <c r="E116">
        <v>23</v>
      </c>
      <c r="F116">
        <v>0</v>
      </c>
    </row>
    <row r="117" spans="1:6" x14ac:dyDescent="0.35">
      <c r="A117">
        <v>1020</v>
      </c>
      <c r="B117" t="s">
        <v>27</v>
      </c>
      <c r="C117" t="s">
        <v>46</v>
      </c>
      <c r="D117" s="8">
        <v>42536</v>
      </c>
      <c r="E117">
        <v>84</v>
      </c>
      <c r="F117">
        <v>1</v>
      </c>
    </row>
    <row r="118" spans="1:6" x14ac:dyDescent="0.35">
      <c r="A118">
        <v>1020</v>
      </c>
      <c r="B118" t="s">
        <v>27</v>
      </c>
      <c r="C118" t="s">
        <v>48</v>
      </c>
      <c r="D118" s="8">
        <v>42580</v>
      </c>
      <c r="E118">
        <v>75</v>
      </c>
      <c r="F118">
        <v>1</v>
      </c>
    </row>
    <row r="119" spans="1:6" x14ac:dyDescent="0.35">
      <c r="A119">
        <v>1020</v>
      </c>
      <c r="B119" t="s">
        <v>27</v>
      </c>
      <c r="C119" t="s">
        <v>50</v>
      </c>
      <c r="D119" s="8">
        <v>42523</v>
      </c>
      <c r="E119">
        <v>41</v>
      </c>
      <c r="F119">
        <v>0</v>
      </c>
    </row>
    <row r="120" spans="1:6" x14ac:dyDescent="0.35">
      <c r="A120">
        <v>1020</v>
      </c>
      <c r="B120" t="s">
        <v>27</v>
      </c>
      <c r="C120" t="s">
        <v>52</v>
      </c>
      <c r="D120" s="8">
        <v>42531</v>
      </c>
      <c r="E120">
        <v>48</v>
      </c>
      <c r="F120">
        <v>0</v>
      </c>
    </row>
    <row r="121" spans="1:6" x14ac:dyDescent="0.35">
      <c r="A121">
        <v>1020</v>
      </c>
      <c r="B121" t="s">
        <v>27</v>
      </c>
      <c r="C121" t="s">
        <v>54</v>
      </c>
      <c r="D121" s="8">
        <v>42542</v>
      </c>
      <c r="E121">
        <v>73</v>
      </c>
      <c r="F121">
        <v>1</v>
      </c>
    </row>
    <row r="122" spans="1:6" x14ac:dyDescent="0.35">
      <c r="A122">
        <v>1021</v>
      </c>
      <c r="B122" t="s">
        <v>28</v>
      </c>
      <c r="C122" t="s">
        <v>7</v>
      </c>
      <c r="D122" s="8">
        <v>42526</v>
      </c>
      <c r="E122">
        <v>62</v>
      </c>
      <c r="F122">
        <v>1</v>
      </c>
    </row>
    <row r="123" spans="1:6" x14ac:dyDescent="0.35">
      <c r="A123">
        <v>1021</v>
      </c>
      <c r="B123" t="s">
        <v>28</v>
      </c>
      <c r="C123" t="s">
        <v>46</v>
      </c>
      <c r="D123" s="8">
        <v>42536</v>
      </c>
      <c r="E123">
        <v>95</v>
      </c>
      <c r="F123">
        <v>1</v>
      </c>
    </row>
    <row r="124" spans="1:6" x14ac:dyDescent="0.35">
      <c r="A124">
        <v>1021</v>
      </c>
      <c r="B124" t="s">
        <v>28</v>
      </c>
      <c r="C124" t="s">
        <v>48</v>
      </c>
      <c r="D124" s="8">
        <v>42580</v>
      </c>
      <c r="E124">
        <v>74</v>
      </c>
      <c r="F124">
        <v>1</v>
      </c>
    </row>
    <row r="125" spans="1:6" x14ac:dyDescent="0.35">
      <c r="A125">
        <v>1021</v>
      </c>
      <c r="B125" t="s">
        <v>28</v>
      </c>
      <c r="C125" t="s">
        <v>50</v>
      </c>
      <c r="D125" s="8">
        <v>42523</v>
      </c>
      <c r="E125">
        <v>42</v>
      </c>
      <c r="F125">
        <v>0</v>
      </c>
    </row>
    <row r="126" spans="1:6" x14ac:dyDescent="0.35">
      <c r="A126">
        <v>1021</v>
      </c>
      <c r="B126" t="s">
        <v>28</v>
      </c>
      <c r="C126" t="s">
        <v>52</v>
      </c>
      <c r="D126" s="8">
        <v>42531</v>
      </c>
      <c r="E126">
        <v>26</v>
      </c>
      <c r="F126">
        <v>0</v>
      </c>
    </row>
    <row r="127" spans="1:6" x14ac:dyDescent="0.35">
      <c r="A127">
        <v>1021</v>
      </c>
      <c r="B127" t="s">
        <v>28</v>
      </c>
      <c r="C127" t="s">
        <v>54</v>
      </c>
      <c r="D127" s="8">
        <v>42542</v>
      </c>
      <c r="E127">
        <v>36</v>
      </c>
      <c r="F127">
        <v>0</v>
      </c>
    </row>
    <row r="128" spans="1:6" x14ac:dyDescent="0.35">
      <c r="A128">
        <v>1022</v>
      </c>
      <c r="B128" t="s">
        <v>29</v>
      </c>
      <c r="C128" t="s">
        <v>7</v>
      </c>
      <c r="D128" s="8">
        <v>42526</v>
      </c>
      <c r="E128">
        <v>1</v>
      </c>
      <c r="F128">
        <v>0</v>
      </c>
    </row>
    <row r="129" spans="1:6" x14ac:dyDescent="0.35">
      <c r="A129">
        <v>1022</v>
      </c>
      <c r="B129" t="s">
        <v>29</v>
      </c>
      <c r="C129" t="s">
        <v>46</v>
      </c>
      <c r="D129" s="8">
        <v>42536</v>
      </c>
      <c r="E129">
        <v>50</v>
      </c>
      <c r="F129">
        <v>0</v>
      </c>
    </row>
    <row r="130" spans="1:6" x14ac:dyDescent="0.35">
      <c r="A130">
        <v>1022</v>
      </c>
      <c r="B130" t="s">
        <v>29</v>
      </c>
      <c r="C130" t="s">
        <v>48</v>
      </c>
      <c r="D130" s="8">
        <v>42580</v>
      </c>
      <c r="E130">
        <v>7</v>
      </c>
      <c r="F130">
        <v>0</v>
      </c>
    </row>
    <row r="131" spans="1:6" x14ac:dyDescent="0.35">
      <c r="A131">
        <v>1022</v>
      </c>
      <c r="B131" t="s">
        <v>29</v>
      </c>
      <c r="C131" t="s">
        <v>50</v>
      </c>
      <c r="D131" s="8">
        <v>42523</v>
      </c>
      <c r="E131">
        <v>8</v>
      </c>
      <c r="F131">
        <v>0</v>
      </c>
    </row>
    <row r="132" spans="1:6" x14ac:dyDescent="0.35">
      <c r="A132">
        <v>1022</v>
      </c>
      <c r="B132" t="s">
        <v>29</v>
      </c>
      <c r="C132" t="s">
        <v>54</v>
      </c>
      <c r="D132" s="8">
        <v>42542</v>
      </c>
      <c r="E132">
        <v>35</v>
      </c>
      <c r="F132">
        <v>0</v>
      </c>
    </row>
    <row r="133" spans="1:6" x14ac:dyDescent="0.35">
      <c r="A133">
        <v>1023</v>
      </c>
      <c r="B133" t="s">
        <v>30</v>
      </c>
      <c r="C133" t="s">
        <v>7</v>
      </c>
      <c r="D133" s="8">
        <v>42526</v>
      </c>
      <c r="E133">
        <v>100</v>
      </c>
      <c r="F133">
        <v>1</v>
      </c>
    </row>
    <row r="134" spans="1:6" x14ac:dyDescent="0.35">
      <c r="A134">
        <v>1023</v>
      </c>
      <c r="B134" t="s">
        <v>30</v>
      </c>
      <c r="C134" t="s">
        <v>46</v>
      </c>
      <c r="D134" s="8">
        <v>42536</v>
      </c>
      <c r="E134">
        <v>27</v>
      </c>
      <c r="F134">
        <v>0</v>
      </c>
    </row>
    <row r="135" spans="1:6" x14ac:dyDescent="0.35">
      <c r="A135">
        <v>1023</v>
      </c>
      <c r="B135" t="s">
        <v>30</v>
      </c>
      <c r="C135" t="s">
        <v>48</v>
      </c>
      <c r="D135" s="8">
        <v>42580</v>
      </c>
      <c r="E135">
        <v>6</v>
      </c>
      <c r="F135">
        <v>0</v>
      </c>
    </row>
    <row r="136" spans="1:6" x14ac:dyDescent="0.35">
      <c r="A136">
        <v>1023</v>
      </c>
      <c r="B136" t="s">
        <v>30</v>
      </c>
      <c r="C136" t="s">
        <v>50</v>
      </c>
      <c r="D136" s="8">
        <v>42523</v>
      </c>
      <c r="E136">
        <v>91</v>
      </c>
      <c r="F136">
        <v>1</v>
      </c>
    </row>
    <row r="137" spans="1:6" x14ac:dyDescent="0.35">
      <c r="A137">
        <v>1023</v>
      </c>
      <c r="B137" t="s">
        <v>30</v>
      </c>
      <c r="C137" t="s">
        <v>54</v>
      </c>
      <c r="D137" s="8">
        <v>42542</v>
      </c>
      <c r="E137">
        <v>85</v>
      </c>
      <c r="F137">
        <v>1</v>
      </c>
    </row>
    <row r="138" spans="1:6" x14ac:dyDescent="0.35">
      <c r="A138">
        <v>1024</v>
      </c>
      <c r="B138" t="s">
        <v>31</v>
      </c>
      <c r="C138" t="s">
        <v>7</v>
      </c>
      <c r="D138" s="8">
        <v>42526</v>
      </c>
      <c r="E138">
        <v>49</v>
      </c>
      <c r="F138">
        <v>0</v>
      </c>
    </row>
    <row r="139" spans="1:6" x14ac:dyDescent="0.35">
      <c r="A139">
        <v>1024</v>
      </c>
      <c r="B139" t="s">
        <v>31</v>
      </c>
      <c r="C139" t="s">
        <v>46</v>
      </c>
      <c r="D139" s="8">
        <v>42536</v>
      </c>
      <c r="E139">
        <v>39</v>
      </c>
      <c r="F139">
        <v>0</v>
      </c>
    </row>
    <row r="140" spans="1:6" x14ac:dyDescent="0.35">
      <c r="A140">
        <v>1024</v>
      </c>
      <c r="B140" t="s">
        <v>31</v>
      </c>
      <c r="C140" t="s">
        <v>48</v>
      </c>
      <c r="D140" s="8">
        <v>42580</v>
      </c>
      <c r="E140">
        <v>40</v>
      </c>
      <c r="F140">
        <v>0</v>
      </c>
    </row>
    <row r="141" spans="1:6" x14ac:dyDescent="0.35">
      <c r="A141">
        <v>1024</v>
      </c>
      <c r="B141" t="s">
        <v>31</v>
      </c>
      <c r="C141" t="s">
        <v>50</v>
      </c>
      <c r="D141" s="8">
        <v>42523</v>
      </c>
      <c r="E141">
        <v>69</v>
      </c>
      <c r="F141">
        <v>1</v>
      </c>
    </row>
    <row r="142" spans="1:6" x14ac:dyDescent="0.35">
      <c r="A142">
        <v>1024</v>
      </c>
      <c r="B142" t="s">
        <v>31</v>
      </c>
      <c r="C142" t="s">
        <v>54</v>
      </c>
      <c r="D142" s="8">
        <v>42542</v>
      </c>
      <c r="E142">
        <v>7</v>
      </c>
      <c r="F142">
        <v>0</v>
      </c>
    </row>
    <row r="143" spans="1:6" x14ac:dyDescent="0.35">
      <c r="A143">
        <v>1025</v>
      </c>
      <c r="B143" t="s">
        <v>32</v>
      </c>
      <c r="C143" t="s">
        <v>7</v>
      </c>
      <c r="D143" s="8">
        <v>42526</v>
      </c>
      <c r="E143">
        <v>41</v>
      </c>
      <c r="F143">
        <v>0</v>
      </c>
    </row>
    <row r="144" spans="1:6" x14ac:dyDescent="0.35">
      <c r="A144">
        <v>1025</v>
      </c>
      <c r="B144" t="s">
        <v>32</v>
      </c>
      <c r="C144" t="s">
        <v>46</v>
      </c>
      <c r="D144" s="8">
        <v>42536</v>
      </c>
      <c r="E144">
        <v>71</v>
      </c>
      <c r="F144">
        <v>1</v>
      </c>
    </row>
    <row r="145" spans="1:6" x14ac:dyDescent="0.35">
      <c r="A145">
        <v>1025</v>
      </c>
      <c r="B145" t="s">
        <v>32</v>
      </c>
      <c r="C145" t="s">
        <v>48</v>
      </c>
      <c r="D145" s="8">
        <v>42580</v>
      </c>
      <c r="E145">
        <v>14</v>
      </c>
      <c r="F145">
        <v>0</v>
      </c>
    </row>
    <row r="146" spans="1:6" x14ac:dyDescent="0.35">
      <c r="A146">
        <v>1025</v>
      </c>
      <c r="B146" t="s">
        <v>32</v>
      </c>
      <c r="C146" t="s">
        <v>50</v>
      </c>
      <c r="D146" s="8">
        <v>42523</v>
      </c>
      <c r="E146">
        <v>47</v>
      </c>
      <c r="F146">
        <v>0</v>
      </c>
    </row>
    <row r="147" spans="1:6" x14ac:dyDescent="0.35">
      <c r="A147">
        <v>1025</v>
      </c>
      <c r="B147" t="s">
        <v>32</v>
      </c>
      <c r="C147" t="s">
        <v>54</v>
      </c>
      <c r="D147" s="8">
        <v>42542</v>
      </c>
      <c r="E147">
        <v>67</v>
      </c>
      <c r="F147">
        <v>1</v>
      </c>
    </row>
    <row r="148" spans="1:6" x14ac:dyDescent="0.35">
      <c r="A148">
        <v>1026</v>
      </c>
      <c r="B148" t="s">
        <v>33</v>
      </c>
      <c r="C148" t="s">
        <v>7</v>
      </c>
      <c r="D148" s="8">
        <v>42526</v>
      </c>
      <c r="E148">
        <v>47</v>
      </c>
      <c r="F148">
        <v>0</v>
      </c>
    </row>
    <row r="149" spans="1:6" x14ac:dyDescent="0.35">
      <c r="A149">
        <v>1026</v>
      </c>
      <c r="B149" t="s">
        <v>33</v>
      </c>
      <c r="C149" t="s">
        <v>46</v>
      </c>
      <c r="D149" s="8">
        <v>42536</v>
      </c>
      <c r="E149">
        <v>83</v>
      </c>
      <c r="F149">
        <v>1</v>
      </c>
    </row>
    <row r="150" spans="1:6" x14ac:dyDescent="0.35">
      <c r="A150">
        <v>1026</v>
      </c>
      <c r="B150" t="s">
        <v>33</v>
      </c>
      <c r="C150" t="s">
        <v>48</v>
      </c>
      <c r="D150" s="8">
        <v>42580</v>
      </c>
      <c r="E150">
        <v>16</v>
      </c>
      <c r="F150">
        <v>0</v>
      </c>
    </row>
    <row r="151" spans="1:6" x14ac:dyDescent="0.35">
      <c r="A151">
        <v>1026</v>
      </c>
      <c r="B151" t="s">
        <v>33</v>
      </c>
      <c r="C151" t="s">
        <v>50</v>
      </c>
      <c r="D151" s="8">
        <v>42523</v>
      </c>
      <c r="E151">
        <v>0</v>
      </c>
      <c r="F151">
        <v>0</v>
      </c>
    </row>
    <row r="152" spans="1:6" x14ac:dyDescent="0.35">
      <c r="A152">
        <v>1026</v>
      </c>
      <c r="B152" t="s">
        <v>33</v>
      </c>
      <c r="C152" t="s">
        <v>54</v>
      </c>
      <c r="D152" s="8">
        <v>42542</v>
      </c>
      <c r="E152">
        <v>80</v>
      </c>
      <c r="F152">
        <v>1</v>
      </c>
    </row>
    <row r="153" spans="1:6" x14ac:dyDescent="0.35">
      <c r="A153">
        <v>1027</v>
      </c>
      <c r="B153" t="s">
        <v>34</v>
      </c>
      <c r="C153" t="s">
        <v>7</v>
      </c>
      <c r="D153" s="8">
        <v>42526</v>
      </c>
      <c r="E153">
        <v>24</v>
      </c>
      <c r="F153">
        <v>0</v>
      </c>
    </row>
    <row r="154" spans="1:6" x14ac:dyDescent="0.35">
      <c r="A154">
        <v>1027</v>
      </c>
      <c r="B154" t="s">
        <v>34</v>
      </c>
      <c r="C154" t="s">
        <v>46</v>
      </c>
      <c r="D154" s="8">
        <v>42536</v>
      </c>
      <c r="E154">
        <v>38</v>
      </c>
      <c r="F154">
        <v>0</v>
      </c>
    </row>
    <row r="155" spans="1:6" x14ac:dyDescent="0.35">
      <c r="A155">
        <v>1027</v>
      </c>
      <c r="B155" t="s">
        <v>34</v>
      </c>
      <c r="C155" t="s">
        <v>48</v>
      </c>
      <c r="D155" s="8">
        <v>42580</v>
      </c>
      <c r="E155">
        <v>31</v>
      </c>
      <c r="F155">
        <v>0</v>
      </c>
    </row>
    <row r="156" spans="1:6" x14ac:dyDescent="0.35">
      <c r="A156">
        <v>1027</v>
      </c>
      <c r="B156" t="s">
        <v>34</v>
      </c>
      <c r="C156" t="s">
        <v>50</v>
      </c>
      <c r="D156" s="8">
        <v>42523</v>
      </c>
      <c r="E156">
        <v>42</v>
      </c>
      <c r="F156">
        <v>0</v>
      </c>
    </row>
    <row r="157" spans="1:6" x14ac:dyDescent="0.35">
      <c r="A157">
        <v>1027</v>
      </c>
      <c r="B157" t="s">
        <v>34</v>
      </c>
      <c r="C157" t="s">
        <v>54</v>
      </c>
      <c r="D157" s="8">
        <v>42542</v>
      </c>
      <c r="E157">
        <v>55</v>
      </c>
      <c r="F157">
        <v>0</v>
      </c>
    </row>
    <row r="158" spans="1:6" x14ac:dyDescent="0.35">
      <c r="A158">
        <v>1028</v>
      </c>
      <c r="B158" t="s">
        <v>35</v>
      </c>
      <c r="C158" t="s">
        <v>7</v>
      </c>
      <c r="D158" s="8">
        <v>42526</v>
      </c>
      <c r="E158">
        <v>33</v>
      </c>
      <c r="F158">
        <v>0</v>
      </c>
    </row>
    <row r="159" spans="1:6" x14ac:dyDescent="0.35">
      <c r="A159">
        <v>1028</v>
      </c>
      <c r="B159" t="s">
        <v>35</v>
      </c>
      <c r="C159" t="s">
        <v>48</v>
      </c>
      <c r="D159" s="8">
        <v>42580</v>
      </c>
      <c r="E159">
        <v>72</v>
      </c>
      <c r="F159">
        <v>1</v>
      </c>
    </row>
    <row r="160" spans="1:6" x14ac:dyDescent="0.35">
      <c r="A160">
        <v>1028</v>
      </c>
      <c r="B160" t="s">
        <v>35</v>
      </c>
      <c r="C160" t="s">
        <v>50</v>
      </c>
      <c r="D160" s="8">
        <v>42523</v>
      </c>
      <c r="E160">
        <v>65</v>
      </c>
      <c r="F160">
        <v>1</v>
      </c>
    </row>
    <row r="161" spans="1:6" x14ac:dyDescent="0.35">
      <c r="A161">
        <v>1028</v>
      </c>
      <c r="B161" t="s">
        <v>35</v>
      </c>
      <c r="C161" t="s">
        <v>54</v>
      </c>
      <c r="D161" s="8">
        <v>42542</v>
      </c>
      <c r="E161">
        <v>83</v>
      </c>
      <c r="F161">
        <v>1</v>
      </c>
    </row>
    <row r="162" spans="1:6" x14ac:dyDescent="0.35">
      <c r="A162">
        <v>1029</v>
      </c>
      <c r="B162" t="s">
        <v>36</v>
      </c>
      <c r="C162" t="s">
        <v>7</v>
      </c>
      <c r="D162" s="8">
        <v>42526</v>
      </c>
      <c r="E162">
        <v>45</v>
      </c>
      <c r="F162">
        <v>0</v>
      </c>
    </row>
    <row r="163" spans="1:6" x14ac:dyDescent="0.35">
      <c r="A163">
        <v>1029</v>
      </c>
      <c r="B163" t="s">
        <v>36</v>
      </c>
      <c r="C163" t="s">
        <v>48</v>
      </c>
      <c r="D163" s="8">
        <v>42580</v>
      </c>
      <c r="E163">
        <v>48</v>
      </c>
      <c r="F163">
        <v>0</v>
      </c>
    </row>
    <row r="164" spans="1:6" x14ac:dyDescent="0.35">
      <c r="A164">
        <v>1029</v>
      </c>
      <c r="B164" t="s">
        <v>36</v>
      </c>
      <c r="C164" t="s">
        <v>50</v>
      </c>
      <c r="D164" s="8">
        <v>42523</v>
      </c>
      <c r="E164">
        <v>42</v>
      </c>
      <c r="F164">
        <v>0</v>
      </c>
    </row>
    <row r="165" spans="1:6" x14ac:dyDescent="0.35">
      <c r="A165">
        <v>1029</v>
      </c>
      <c r="B165" t="s">
        <v>36</v>
      </c>
      <c r="C165" t="s">
        <v>54</v>
      </c>
      <c r="D165" s="8">
        <v>42542</v>
      </c>
      <c r="E165">
        <v>67</v>
      </c>
      <c r="F165">
        <v>1</v>
      </c>
    </row>
    <row r="166" spans="1:6" x14ac:dyDescent="0.35">
      <c r="A166">
        <v>1030</v>
      </c>
      <c r="B166" t="s">
        <v>37</v>
      </c>
      <c r="C166" t="s">
        <v>7</v>
      </c>
      <c r="D166" s="8">
        <v>42526</v>
      </c>
      <c r="E166">
        <v>41</v>
      </c>
      <c r="F166">
        <v>0</v>
      </c>
    </row>
    <row r="167" spans="1:6" x14ac:dyDescent="0.35">
      <c r="A167">
        <v>1030</v>
      </c>
      <c r="B167" t="s">
        <v>37</v>
      </c>
      <c r="C167" t="s">
        <v>48</v>
      </c>
      <c r="D167" s="8">
        <v>42580</v>
      </c>
      <c r="E167">
        <v>53</v>
      </c>
      <c r="F167">
        <v>0</v>
      </c>
    </row>
    <row r="168" spans="1:6" x14ac:dyDescent="0.35">
      <c r="A168">
        <v>1030</v>
      </c>
      <c r="B168" t="s">
        <v>37</v>
      </c>
      <c r="C168" t="s">
        <v>50</v>
      </c>
      <c r="D168" s="8">
        <v>42523</v>
      </c>
      <c r="E168">
        <v>32</v>
      </c>
      <c r="F168">
        <v>0</v>
      </c>
    </row>
    <row r="169" spans="1:6" x14ac:dyDescent="0.35">
      <c r="A169">
        <v>1030</v>
      </c>
      <c r="B169" t="s">
        <v>37</v>
      </c>
      <c r="C169" t="s">
        <v>54</v>
      </c>
      <c r="D169" s="8">
        <v>42542</v>
      </c>
      <c r="E169">
        <v>27</v>
      </c>
      <c r="F169">
        <v>0</v>
      </c>
    </row>
    <row r="170" spans="1:6" x14ac:dyDescent="0.35">
      <c r="A170">
        <v>1031</v>
      </c>
      <c r="B170" t="s">
        <v>38</v>
      </c>
      <c r="C170" t="s">
        <v>7</v>
      </c>
      <c r="D170" s="8">
        <v>42526</v>
      </c>
      <c r="E170">
        <v>78</v>
      </c>
      <c r="F170">
        <v>1</v>
      </c>
    </row>
    <row r="171" spans="1:6" x14ac:dyDescent="0.35">
      <c r="A171">
        <v>1031</v>
      </c>
      <c r="B171" t="s">
        <v>38</v>
      </c>
      <c r="C171" t="s">
        <v>48</v>
      </c>
      <c r="D171" s="8">
        <v>42580</v>
      </c>
      <c r="E171">
        <v>67</v>
      </c>
      <c r="F171">
        <v>1</v>
      </c>
    </row>
    <row r="172" spans="1:6" x14ac:dyDescent="0.35">
      <c r="A172">
        <v>1031</v>
      </c>
      <c r="B172" t="s">
        <v>38</v>
      </c>
      <c r="C172" t="s">
        <v>50</v>
      </c>
      <c r="D172" s="8">
        <v>42523</v>
      </c>
      <c r="E172">
        <v>33</v>
      </c>
      <c r="F172">
        <v>0</v>
      </c>
    </row>
    <row r="173" spans="1:6" x14ac:dyDescent="0.35">
      <c r="A173">
        <v>1031</v>
      </c>
      <c r="B173" t="s">
        <v>38</v>
      </c>
      <c r="C173" t="s">
        <v>54</v>
      </c>
      <c r="D173" s="8">
        <v>42542</v>
      </c>
      <c r="E173">
        <v>94</v>
      </c>
      <c r="F173">
        <v>1</v>
      </c>
    </row>
    <row r="174" spans="1:6" x14ac:dyDescent="0.35">
      <c r="A174">
        <v>1032</v>
      </c>
      <c r="B174" t="s">
        <v>39</v>
      </c>
      <c r="C174" t="s">
        <v>7</v>
      </c>
      <c r="D174" s="8">
        <v>42526</v>
      </c>
      <c r="E174">
        <v>25</v>
      </c>
      <c r="F174">
        <v>0</v>
      </c>
    </row>
    <row r="175" spans="1:6" x14ac:dyDescent="0.35">
      <c r="A175">
        <v>1032</v>
      </c>
      <c r="B175" t="s">
        <v>39</v>
      </c>
      <c r="C175" t="s">
        <v>48</v>
      </c>
      <c r="D175" s="8">
        <v>42580</v>
      </c>
      <c r="E175">
        <v>23</v>
      </c>
      <c r="F175">
        <v>0</v>
      </c>
    </row>
    <row r="176" spans="1:6" x14ac:dyDescent="0.35">
      <c r="A176">
        <v>1032</v>
      </c>
      <c r="B176" t="s">
        <v>39</v>
      </c>
      <c r="C176" t="s">
        <v>50</v>
      </c>
      <c r="D176" s="8">
        <v>42523</v>
      </c>
      <c r="E176">
        <v>4</v>
      </c>
      <c r="F176">
        <v>0</v>
      </c>
    </row>
    <row r="177" spans="1:6" x14ac:dyDescent="0.35">
      <c r="A177">
        <v>1032</v>
      </c>
      <c r="B177" t="s">
        <v>39</v>
      </c>
      <c r="C177" t="s">
        <v>54</v>
      </c>
      <c r="D177" s="8">
        <v>42542</v>
      </c>
      <c r="E177">
        <v>96</v>
      </c>
      <c r="F177">
        <v>1</v>
      </c>
    </row>
    <row r="178" spans="1:6" x14ac:dyDescent="0.35">
      <c r="A178">
        <v>1033</v>
      </c>
      <c r="B178" t="s">
        <v>40</v>
      </c>
      <c r="C178" t="s">
        <v>7</v>
      </c>
      <c r="D178" s="8">
        <v>42526</v>
      </c>
      <c r="E178">
        <v>44</v>
      </c>
      <c r="F178">
        <v>0</v>
      </c>
    </row>
    <row r="179" spans="1:6" x14ac:dyDescent="0.35">
      <c r="A179">
        <v>1033</v>
      </c>
      <c r="B179" t="s">
        <v>40</v>
      </c>
      <c r="C179" t="s">
        <v>48</v>
      </c>
      <c r="D179" s="8">
        <v>42580</v>
      </c>
      <c r="E179">
        <v>90</v>
      </c>
      <c r="F179">
        <v>1</v>
      </c>
    </row>
    <row r="180" spans="1:6" x14ac:dyDescent="0.35">
      <c r="A180">
        <v>1033</v>
      </c>
      <c r="B180" t="s">
        <v>40</v>
      </c>
      <c r="C180" t="s">
        <v>50</v>
      </c>
      <c r="D180" s="8">
        <v>42523</v>
      </c>
      <c r="E180">
        <v>27</v>
      </c>
      <c r="F180">
        <v>0</v>
      </c>
    </row>
    <row r="181" spans="1:6" x14ac:dyDescent="0.35">
      <c r="A181">
        <v>1033</v>
      </c>
      <c r="B181" t="s">
        <v>40</v>
      </c>
      <c r="C181" t="s">
        <v>54</v>
      </c>
      <c r="D181" s="8">
        <v>42542</v>
      </c>
      <c r="E181">
        <v>99</v>
      </c>
      <c r="F181">
        <v>1</v>
      </c>
    </row>
    <row r="182" spans="1:6" x14ac:dyDescent="0.35">
      <c r="A182">
        <v>1034</v>
      </c>
      <c r="B182" t="s">
        <v>41</v>
      </c>
      <c r="C182" t="s">
        <v>7</v>
      </c>
      <c r="D182" s="8">
        <v>42526</v>
      </c>
      <c r="E182">
        <v>86</v>
      </c>
      <c r="F182">
        <v>1</v>
      </c>
    </row>
    <row r="183" spans="1:6" x14ac:dyDescent="0.35">
      <c r="A183">
        <v>1034</v>
      </c>
      <c r="B183" t="s">
        <v>41</v>
      </c>
      <c r="C183" t="s">
        <v>48</v>
      </c>
      <c r="D183" s="8">
        <v>42580</v>
      </c>
      <c r="E183">
        <v>87</v>
      </c>
      <c r="F183">
        <v>1</v>
      </c>
    </row>
    <row r="184" spans="1:6" x14ac:dyDescent="0.35">
      <c r="A184">
        <v>1034</v>
      </c>
      <c r="B184" t="s">
        <v>41</v>
      </c>
      <c r="C184" t="s">
        <v>50</v>
      </c>
      <c r="D184" s="8">
        <v>42523</v>
      </c>
      <c r="E184">
        <v>56</v>
      </c>
      <c r="F184">
        <v>0</v>
      </c>
    </row>
    <row r="185" spans="1:6" x14ac:dyDescent="0.35">
      <c r="A185">
        <v>1034</v>
      </c>
      <c r="B185" t="s">
        <v>41</v>
      </c>
      <c r="C185" t="s">
        <v>54</v>
      </c>
      <c r="D185" s="8">
        <v>42542</v>
      </c>
      <c r="E185">
        <v>64</v>
      </c>
      <c r="F185">
        <v>1</v>
      </c>
    </row>
    <row r="186" spans="1:6" x14ac:dyDescent="0.35">
      <c r="A186">
        <v>1035</v>
      </c>
      <c r="B186" t="s">
        <v>42</v>
      </c>
      <c r="C186" t="s">
        <v>7</v>
      </c>
      <c r="D186" s="8">
        <v>42526</v>
      </c>
      <c r="E186">
        <v>97</v>
      </c>
      <c r="F186">
        <v>1</v>
      </c>
    </row>
    <row r="187" spans="1:6" x14ac:dyDescent="0.35">
      <c r="A187">
        <v>1035</v>
      </c>
      <c r="B187" t="s">
        <v>42</v>
      </c>
      <c r="C187" t="s">
        <v>48</v>
      </c>
      <c r="D187" s="8">
        <v>42580</v>
      </c>
      <c r="E187">
        <v>40</v>
      </c>
      <c r="F187">
        <v>0</v>
      </c>
    </row>
    <row r="188" spans="1:6" x14ac:dyDescent="0.35">
      <c r="A188">
        <v>1035</v>
      </c>
      <c r="B188" t="s">
        <v>42</v>
      </c>
      <c r="C188" t="s">
        <v>50</v>
      </c>
      <c r="D188" s="8">
        <v>42523</v>
      </c>
      <c r="E188">
        <v>36</v>
      </c>
      <c r="F188">
        <v>0</v>
      </c>
    </row>
    <row r="189" spans="1:6" x14ac:dyDescent="0.35">
      <c r="A189">
        <v>1035</v>
      </c>
      <c r="B189" t="s">
        <v>42</v>
      </c>
      <c r="C189" t="s">
        <v>54</v>
      </c>
      <c r="D189" s="8">
        <v>42542</v>
      </c>
      <c r="E189">
        <v>52</v>
      </c>
      <c r="F189">
        <v>0</v>
      </c>
    </row>
    <row r="190" spans="1:6" x14ac:dyDescent="0.35">
      <c r="A190">
        <v>1036</v>
      </c>
      <c r="B190" t="s">
        <v>43</v>
      </c>
      <c r="C190" t="s">
        <v>7</v>
      </c>
      <c r="D190" s="8">
        <v>42526</v>
      </c>
      <c r="E190">
        <v>35</v>
      </c>
      <c r="F190">
        <v>0</v>
      </c>
    </row>
    <row r="191" spans="1:6" x14ac:dyDescent="0.35">
      <c r="A191">
        <v>1036</v>
      </c>
      <c r="B191" t="s">
        <v>43</v>
      </c>
      <c r="C191" t="s">
        <v>48</v>
      </c>
      <c r="D191" s="8">
        <v>42580</v>
      </c>
      <c r="E191">
        <v>26</v>
      </c>
      <c r="F191">
        <v>0</v>
      </c>
    </row>
    <row r="192" spans="1:6" x14ac:dyDescent="0.35">
      <c r="A192">
        <v>1036</v>
      </c>
      <c r="B192" t="s">
        <v>43</v>
      </c>
      <c r="C192" t="s">
        <v>50</v>
      </c>
      <c r="D192" s="8">
        <v>42523</v>
      </c>
      <c r="E192">
        <v>51</v>
      </c>
      <c r="F192">
        <v>0</v>
      </c>
    </row>
    <row r="193" spans="1:6" x14ac:dyDescent="0.35">
      <c r="A193">
        <v>1036</v>
      </c>
      <c r="B193" t="s">
        <v>43</v>
      </c>
      <c r="C193" t="s">
        <v>54</v>
      </c>
      <c r="D193" s="8">
        <v>42542</v>
      </c>
      <c r="E193">
        <v>16</v>
      </c>
      <c r="F193">
        <v>0</v>
      </c>
    </row>
    <row r="194" spans="1:6" x14ac:dyDescent="0.35">
      <c r="A194">
        <v>1037</v>
      </c>
      <c r="B194" t="s">
        <v>44</v>
      </c>
      <c r="C194" t="s">
        <v>7</v>
      </c>
      <c r="D194" s="8">
        <v>42526</v>
      </c>
      <c r="E194">
        <v>75</v>
      </c>
      <c r="F194">
        <v>1</v>
      </c>
    </row>
    <row r="195" spans="1:6" x14ac:dyDescent="0.35">
      <c r="A195">
        <v>1037</v>
      </c>
      <c r="B195" t="s">
        <v>44</v>
      </c>
      <c r="C195" t="s">
        <v>48</v>
      </c>
      <c r="D195" s="8">
        <v>42580</v>
      </c>
      <c r="E195">
        <v>51</v>
      </c>
      <c r="F195">
        <v>0</v>
      </c>
    </row>
    <row r="196" spans="1:6" x14ac:dyDescent="0.35">
      <c r="A196">
        <v>1037</v>
      </c>
      <c r="B196" t="s">
        <v>44</v>
      </c>
      <c r="C196" t="s">
        <v>50</v>
      </c>
      <c r="D196" s="8">
        <v>42523</v>
      </c>
      <c r="E196">
        <v>71</v>
      </c>
      <c r="F196">
        <v>1</v>
      </c>
    </row>
    <row r="197" spans="1:6" x14ac:dyDescent="0.35">
      <c r="A197">
        <v>1037</v>
      </c>
      <c r="B197" t="s">
        <v>44</v>
      </c>
      <c r="C197" t="s">
        <v>54</v>
      </c>
      <c r="D197" s="8">
        <v>42542</v>
      </c>
      <c r="E197">
        <v>34</v>
      </c>
      <c r="F197">
        <v>0</v>
      </c>
    </row>
    <row r="198" spans="1:6" x14ac:dyDescent="0.35">
      <c r="A198">
        <v>1038</v>
      </c>
      <c r="B198" t="s">
        <v>45</v>
      </c>
      <c r="C198" t="s">
        <v>7</v>
      </c>
      <c r="D198" s="8">
        <v>42526</v>
      </c>
      <c r="E198">
        <v>48</v>
      </c>
      <c r="F198">
        <v>0</v>
      </c>
    </row>
    <row r="199" spans="1:6" x14ac:dyDescent="0.35">
      <c r="A199">
        <v>1038</v>
      </c>
      <c r="B199" t="s">
        <v>45</v>
      </c>
      <c r="C199" t="s">
        <v>50</v>
      </c>
      <c r="D199" s="8">
        <v>42523</v>
      </c>
      <c r="E199">
        <v>52</v>
      </c>
      <c r="F199">
        <v>0</v>
      </c>
    </row>
    <row r="200" spans="1:6" x14ac:dyDescent="0.35">
      <c r="A200">
        <v>1038</v>
      </c>
      <c r="B200" t="s">
        <v>45</v>
      </c>
      <c r="C200" t="s">
        <v>54</v>
      </c>
      <c r="D200" s="8">
        <v>42542</v>
      </c>
      <c r="E200">
        <v>76</v>
      </c>
      <c r="F200">
        <v>1</v>
      </c>
    </row>
    <row r="201" spans="1:6" x14ac:dyDescent="0.35">
      <c r="A201">
        <v>1039</v>
      </c>
      <c r="B201" t="s">
        <v>56</v>
      </c>
      <c r="C201" t="s">
        <v>54</v>
      </c>
      <c r="D201" s="8">
        <v>42542</v>
      </c>
      <c r="E201">
        <v>96</v>
      </c>
      <c r="F2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71371-F933-418E-9810-3064116D33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biology (2)</vt:lpstr>
      <vt:lpstr>Biology</vt:lpstr>
      <vt:lpstr>chemistry (2)</vt:lpstr>
      <vt:lpstr>Chemistry</vt:lpstr>
      <vt:lpstr>mathematics (2)</vt:lpstr>
      <vt:lpstr>Mathematics</vt:lpstr>
      <vt:lpstr>philosophy (2)</vt:lpstr>
      <vt:lpstr>Philosophy</vt:lpstr>
      <vt:lpstr>physics (2)</vt:lpstr>
      <vt:lpstr>Physics</vt:lpstr>
      <vt:lpstr>sociology(2)</vt:lpstr>
      <vt:lpstr>Sociology</vt:lpstr>
      <vt:lpstr>Student Details</vt:lpstr>
      <vt:lpstr>prepare</vt:lpstr>
      <vt:lpstr>dashboard</vt:lpstr>
      <vt:lpstr>marks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Pranshu pardesi</cp:lastModifiedBy>
  <dcterms:created xsi:type="dcterms:W3CDTF">2024-11-18T04:47:18Z</dcterms:created>
  <dcterms:modified xsi:type="dcterms:W3CDTF">2026-03-23T10:40:25Z</dcterms:modified>
</cp:coreProperties>
</file>